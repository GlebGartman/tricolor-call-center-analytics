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Gleb\Desktop\Курсы\Стажировки\Триколор\"/>
    </mc:Choice>
  </mc:AlternateContent>
  <xr:revisionPtr revIDLastSave="0" documentId="13_ncr:1_{288B2C58-E4D9-4AF2-A214-8C0D24F47BF0}" xr6:coauthVersionLast="47" xr6:coauthVersionMax="47" xr10:uidLastSave="{00000000-0000-0000-0000-000000000000}"/>
  <bookViews>
    <workbookView xWindow="-120" yWindow="-120" windowWidth="29040" windowHeight="15840" activeTab="3" xr2:uid="{00000000-000D-0000-FFFF-FFFF00000000}"/>
  </bookViews>
  <sheets>
    <sheet name="Задание 1 " sheetId="9" r:id="rId1"/>
    <sheet name="Задание 3 (на)" sheetId="6" state="hidden" r:id="rId2"/>
    <sheet name="Задание 2 " sheetId="5" r:id="rId3"/>
    <sheet name="Задание 3 " sheetId="10" r:id="rId4"/>
    <sheet name="Задание 4 (дополнительно)" sheetId="8"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10" l="1"/>
  <c r="C22" i="10"/>
  <c r="U14" i="10"/>
  <c r="E41" i="10"/>
  <c r="F13" i="10" l="1"/>
  <c r="F14" i="10" s="1"/>
  <c r="F15" i="10" s="1"/>
  <c r="F16" i="10" s="1"/>
  <c r="F17" i="10" s="1"/>
  <c r="F18" i="10" s="1"/>
  <c r="F19" i="10" s="1"/>
  <c r="F20" i="10" s="1"/>
  <c r="F21" i="10" s="1"/>
  <c r="F22" i="10" s="1"/>
  <c r="F23" i="10" s="1"/>
  <c r="F24" i="10" s="1"/>
  <c r="F25" i="10" s="1"/>
  <c r="F26" i="10" s="1"/>
  <c r="F27" i="10" s="1"/>
  <c r="F28" i="10" s="1"/>
  <c r="F29" i="10" s="1"/>
  <c r="F30" i="10" s="1"/>
  <c r="F31" i="10" s="1"/>
  <c r="F32" i="10" s="1"/>
  <c r="F33" i="10" s="1"/>
  <c r="F34" i="10" s="1"/>
  <c r="F35" i="10" s="1"/>
  <c r="F36" i="10" s="1"/>
  <c r="F37" i="10" s="1"/>
  <c r="F38" i="10" s="1"/>
  <c r="F39" i="10" s="1"/>
  <c r="F40" i="10" s="1"/>
  <c r="F41" i="10" s="1"/>
  <c r="F42" i="10" s="1"/>
  <c r="F43" i="10" s="1"/>
  <c r="F44" i="10" s="1"/>
  <c r="F45" i="10" s="1"/>
  <c r="F46" i="10" s="1"/>
  <c r="F12" i="10"/>
  <c r="F11" i="10"/>
  <c r="U17" i="10" l="1"/>
  <c r="C15" i="10" s="1"/>
  <c r="U15" i="10"/>
  <c r="C16" i="10" l="1"/>
  <c r="C17" i="10"/>
  <c r="C18" i="10"/>
  <c r="E44" i="10" s="1"/>
  <c r="C34" i="10"/>
  <c r="C12" i="10"/>
  <c r="C13" i="10"/>
  <c r="C14" i="10"/>
  <c r="C19" i="10"/>
  <c r="C20" i="10"/>
  <c r="C21" i="10"/>
  <c r="C23" i="10"/>
  <c r="C24" i="10"/>
  <c r="C25" i="10"/>
  <c r="C26" i="10"/>
  <c r="C27" i="10"/>
  <c r="C28" i="10"/>
  <c r="C29" i="10"/>
  <c r="C30" i="10"/>
  <c r="C31" i="10"/>
  <c r="C32" i="10"/>
  <c r="C33" i="10"/>
  <c r="C35" i="10"/>
  <c r="C36" i="10"/>
  <c r="C37" i="10"/>
  <c r="C38" i="10"/>
  <c r="C39" i="10"/>
  <c r="C40" i="10"/>
  <c r="C41" i="10"/>
  <c r="C11" i="10"/>
  <c r="D15" i="10" l="1"/>
  <c r="D20" i="10"/>
  <c r="B44" i="10" s="1"/>
  <c r="D17" i="10"/>
  <c r="D21" i="10"/>
  <c r="D13" i="10"/>
  <c r="D14" i="10"/>
  <c r="E42" i="10"/>
  <c r="D12" i="10"/>
  <c r="E46" i="10"/>
  <c r="E45" i="10"/>
  <c r="D16" i="10"/>
  <c r="D22" i="10"/>
  <c r="D19" i="10"/>
  <c r="E43" i="10"/>
  <c r="B43" i="10" s="1"/>
  <c r="D18" i="10"/>
  <c r="B45" i="10" l="1"/>
  <c r="B46" i="10"/>
  <c r="B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Gleb</author>
  </authors>
  <commentList>
    <comment ref="F16" authorId="0" shapeId="0" xr:uid="{CF4A2F15-E836-4B5A-89BD-98CB63058CD7}">
      <text>
        <r>
          <rPr>
            <b/>
            <sz val="9"/>
            <color indexed="81"/>
            <rFont val="Tahoma"/>
            <charset val="1"/>
          </rPr>
          <t>Gleb:</t>
        </r>
        <r>
          <rPr>
            <sz val="9"/>
            <color indexed="81"/>
            <rFont val="Tahoma"/>
            <charset val="1"/>
          </rPr>
          <t xml:space="preserve">
SELECT
    type_of_equipment,
    COUNT(DISTINCT ap.id_client) AS clients_cnt
FROM active_periods AS ap
JOIN data_mart AS dm
    ON ap.id_client = dm.id_client
WHERE end_date BETWEEN '2022-07-01' AND '2022-09-30'
GROUP BY type_of_equipment
ORDER BY clients_cnt DESC;</t>
        </r>
      </text>
    </comment>
    <comment ref="E17" authorId="0" shapeId="0" xr:uid="{B3E96D64-8E98-4CAE-8A2A-1869A4706694}">
      <text>
        <r>
          <rPr>
            <b/>
            <sz val="9"/>
            <color indexed="81"/>
            <rFont val="Tahoma"/>
            <charset val="1"/>
          </rPr>
          <t>Gleb:</t>
        </r>
        <r>
          <rPr>
            <sz val="9"/>
            <color indexed="81"/>
            <rFont val="Tahoma"/>
            <charset val="1"/>
          </rPr>
          <t xml:space="preserve">
WITH finish AS (
    SELECT
        id_client,
        service,
        end_date,
        ROW_NUMBER() OVER (PARTITION BY id_client ORDER BY end_date DESC) AS rnk
    FROM active_periods
    WHERE end_date &lt; NOW()
)
SELECT
    id_client,
    service,
    end_date
FROM finish
WHERE rnk =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Gleb</author>
  </authors>
  <commentList>
    <comment ref="C5" authorId="0" shapeId="0" xr:uid="{89CFCA9C-C60D-4BB3-B242-069E0FA94F18}">
      <text>
        <r>
          <rPr>
            <b/>
            <sz val="9"/>
            <color indexed="81"/>
            <rFont val="Tahoma"/>
            <family val="2"/>
            <charset val="204"/>
          </rPr>
          <t>Gleb:</t>
        </r>
        <r>
          <rPr>
            <sz val="9"/>
            <color indexed="81"/>
            <rFont val="Tahoma"/>
            <family val="2"/>
            <charset val="204"/>
          </rPr>
          <t xml:space="preserve">
Результаты задания представлены на листах «Дашборд 1» и «Дашборд 2»
Для расчета показателей использовались меры Power Pivot (DAX), а для предварительной обработки и преобразования данных применялся Power Query</t>
        </r>
      </text>
    </comment>
  </commentList>
</comments>
</file>

<file path=xl/sharedStrings.xml><?xml version="1.0" encoding="utf-8"?>
<sst xmlns="http://schemas.openxmlformats.org/spreadsheetml/2006/main" count="87" uniqueCount="84">
  <si>
    <t>количество поступивших контактов</t>
  </si>
  <si>
    <t>количество отвеченных контактов</t>
  </si>
  <si>
    <t>долю повторных контактов</t>
  </si>
  <si>
    <t>долю переведенных контактов</t>
  </si>
  <si>
    <t>п.1</t>
  </si>
  <si>
    <t>п.2</t>
  </si>
  <si>
    <t>п.3</t>
  </si>
  <si>
    <t>п.4</t>
  </si>
  <si>
    <t>Определить оператора:</t>
  </si>
  <si>
    <t>1.</t>
  </si>
  <si>
    <t>5 людей различного возраста случайным образом садятся за круглый стол. Какова вероятность того, что они рассядутся по возрастанию или по убыванию возраста?</t>
  </si>
  <si>
    <t xml:space="preserve">2. </t>
  </si>
  <si>
    <t xml:space="preserve">Вы подбрасываете кубик (6 граней), после чего у вас есть две возможности:
1. Взять себе сумму $, равную выпавшему на кубике числу (выпало 3 – получаете 3$)
2. Отклонить результат первого броска и подбросить кубик второй раз. После чего уже взять себе столько $, сколько выпало во второй раз (второй бросок отклонять уже нельзя)
Какую стратегию нужно выбрать, чтобы максимизировать ожидаемую прибыль (при каких значениях первого броска нужно перебрасывать?)
Чему равна ожидаемая прибыль при этой стратегии (математическое ожидание)?
</t>
  </si>
  <si>
    <t>Задание 1</t>
  </si>
  <si>
    <t>Задание 2</t>
  </si>
  <si>
    <t>Решить одну из двух задач на выбор или обе:</t>
  </si>
  <si>
    <t>Задание 4</t>
  </si>
  <si>
    <t>Необходимо найти ошибку в запросе:</t>
  </si>
  <si>
    <t xml:space="preserve">(SELECT SUM(qty * price) </t>
  </si>
  <si>
    <t xml:space="preserve">UPDATE flowers SET seasons_2020 &amp;gt; </t>
  </si>
  <si>
    <t xml:space="preserve">FROM seasons WHERE seasons.flower_id = flower.id </t>
  </si>
  <si>
    <t>AND seasons.stdate BETWEEN '01/01/2020' AND '12/31/2020')</t>
  </si>
  <si>
    <t>Задание 3</t>
  </si>
  <si>
    <t>ID client</t>
  </si>
  <si>
    <t xml:space="preserve"> Service</t>
  </si>
  <si>
    <t>Start date</t>
  </si>
  <si>
    <t>End date</t>
  </si>
  <si>
    <t>Дано:</t>
  </si>
  <si>
    <t>Status</t>
  </si>
  <si>
    <t xml:space="preserve">
Сurrent service</t>
  </si>
  <si>
    <t>Region</t>
  </si>
  <si>
    <t>дата активации услуги</t>
  </si>
  <si>
    <t>дата завершения услуги</t>
  </si>
  <si>
    <t>регион регистрации клиента</t>
  </si>
  <si>
    <t>Date from</t>
  </si>
  <si>
    <t>Date to</t>
  </si>
  <si>
    <t>идентификатор клиента (могут повторяться, если у клиента было более 1й услуги)</t>
  </si>
  <si>
    <t>Type of equipment</t>
  </si>
  <si>
    <t>тип используемого клиентом оборудования</t>
  </si>
  <si>
    <t>название услуги</t>
  </si>
  <si>
    <t>название последней услуги</t>
  </si>
  <si>
    <t>статус последней услуги (активна/не активна)</t>
  </si>
  <si>
    <t>дата активации последней услуги</t>
  </si>
  <si>
    <t>дата завершения последней услуги</t>
  </si>
  <si>
    <t>Исходники и календарь для выполнения задания во вложении в zip архиве.</t>
  </si>
  <si>
    <t xml:space="preserve">Исходя из полученной витрины сделать выводы о результатах работы КЦ за рассматриваемый период, оформить в формате презентации </t>
  </si>
  <si>
    <t>идентификатор клиента (ID client уникальные )</t>
  </si>
  <si>
    <t>2. Отображающий последнюю не активную услугу клиента, не зависимо от статуса активности клиента на сегодня.</t>
  </si>
  <si>
    <t>Статистика по новым подключениям помесячно</t>
  </si>
  <si>
    <t>период</t>
  </si>
  <si>
    <t>новые подключения</t>
  </si>
  <si>
    <t>1. С мая по август 2022г. Проводилась маркетинговая  акция, направленная на рост среднемесячных подключений до 50%.</t>
  </si>
  <si>
    <t>2. В декабре 2022  предоставлялась скидка 3% на покупку оборудования при единовременном подключении.</t>
  </si>
  <si>
    <t>3. В декабре 2023  предоставлялась скидка при подключении на выбор: годовая подписка со скидкой 30% или второй год подписки в подарок при покупке первого.</t>
  </si>
  <si>
    <t>долю неотвеченных контактов</t>
  </si>
  <si>
    <t>1. Рассчитывающий в разрезе типа оборудования количество клиентов, у которых заканчивалась услуга в 3 квартале 2022 года.</t>
  </si>
  <si>
    <t>1. Таблица с активациями всех подписок клиентов "Active periods" с полями:</t>
  </si>
  <si>
    <t xml:space="preserve"> В этой таблице представлены данные о сроках начала и окончания всех услуг.</t>
  </si>
  <si>
    <t>2. Таблица с данными клиентов "Data mart" с полями:</t>
  </si>
  <si>
    <r>
      <t xml:space="preserve">Необходимо: </t>
    </r>
    <r>
      <rPr>
        <sz val="11"/>
        <rFont val="Calibri"/>
        <family val="2"/>
        <charset val="204"/>
      </rPr>
      <t xml:space="preserve"> Сформировать прогноз до конца 2024 года, если известны нижеперечисленные факты.</t>
    </r>
  </si>
  <si>
    <r>
      <rPr>
        <b/>
        <sz val="11"/>
        <rFont val="Calibri"/>
        <family val="2"/>
        <charset val="204"/>
      </rPr>
      <t xml:space="preserve">Построить </t>
    </r>
    <r>
      <rPr>
        <sz val="11"/>
        <rFont val="Calibri"/>
        <family val="2"/>
        <charset val="204"/>
      </rPr>
      <t>в Power BI витрину, содержащую:</t>
    </r>
  </si>
  <si>
    <r>
      <rPr>
        <b/>
        <sz val="11"/>
        <rFont val="Calibri"/>
        <family val="2"/>
        <charset val="204"/>
      </rPr>
      <t>Построить</t>
    </r>
    <r>
      <rPr>
        <sz val="11"/>
        <rFont val="Calibri"/>
        <family val="2"/>
        <charset val="204"/>
      </rPr>
      <t xml:space="preserve"> графики с динамикой KPI из п.1</t>
    </r>
  </si>
  <si>
    <t xml:space="preserve">самую длительную </t>
  </si>
  <si>
    <t>Определить тематику:</t>
  </si>
  <si>
    <t>самую существенную</t>
  </si>
  <si>
    <t>среднее время обработки контакта (average handling time, АНТ)</t>
  </si>
  <si>
    <t xml:space="preserve">с самым эффективным АНТ </t>
  </si>
  <si>
    <t>с самым негативным АНТ</t>
  </si>
  <si>
    <t>среднее время ожидания ответа в очереди</t>
  </si>
  <si>
    <t>Необходимо написать скрипт sql:</t>
  </si>
  <si>
    <t>п.5</t>
  </si>
  <si>
    <t>В качестве IDE использовался DBeaver, в качестве СУБД был PostgreSQL. SQL-скрипт с созданием таблиц, наполнением данными и запросами будет приложен во вложении</t>
  </si>
  <si>
    <t>Для имитации исходных данных были созданы две таблицы: Active periods и Data mart</t>
  </si>
  <si>
    <t>Таблицы были заполнены тестовыми данными, отражающими различные сценарии подключения и завершения услуг клиентами</t>
  </si>
  <si>
    <t>Нормализованные значения</t>
  </si>
  <si>
    <t xml:space="preserve">Для пунктов 2 и 3, в рамках которых в декабре 2022 и декабре 2023 годов предоставлялись скидки,
использовалась линейная интерполяция на основе значений соседних периодов 
(Оценка неизвестного значения между двумя известными точками путём линейного усреднения)
Для дек.2022 посчитаем нормализованное значение как среднее между ноябрем 2022 и январем 2023,
а для дек.2023 - как среднее между ноябрем 2023 и январем 2024
Для периода с мая по август 2022 года, в течение которого проводилась маркетинговая акция,
нормализация значений выполнялась путем оценки базового уровня подключений как среднего значения апреля и сентября 2022 года.
Далее значения показателя в период действия акции корректировались с использованием коэффициента, 
рассчитанного как отношение среднего значения в период акции к базовому уровню
</t>
  </si>
  <si>
    <t>Среднее значение апр. и сент. 2022 года:</t>
  </si>
  <si>
    <t>Среднее значение между маем и авг. 2022 года,
когда проводилась маркетинговая акция:</t>
  </si>
  <si>
    <t>Коэффициент влияния акции:</t>
  </si>
  <si>
    <t>близко к плановому значению 1,5</t>
  </si>
  <si>
    <t>Сезонность</t>
  </si>
  <si>
    <t>Прогноз</t>
  </si>
  <si>
    <t>Период</t>
  </si>
  <si>
    <r>
      <t xml:space="preserve">Далее для каждого месяца определяется сезонный коэффициент как отношение среднего значения месяца к среднему значению за весь период.
Трендовая составляющая временного ряда определяется с использованием функции прогнозирования в Excel на основе нормализованных данных без учета сезонных колебаний. 
Используем Формулы Предсказ.Линейн
Далее применяется </t>
    </r>
    <r>
      <rPr>
        <b/>
        <sz val="11"/>
        <rFont val="Calibri"/>
        <family val="2"/>
        <charset val="204"/>
      </rPr>
      <t>мультипликативная модель</t>
    </r>
    <r>
      <rPr>
        <sz val="11"/>
        <rFont val="Calibri"/>
        <family val="2"/>
        <charset val="204"/>
      </rPr>
      <t xml:space="preserve">, так как сезонный эффект не является постоянным, 
в связи с чем итоговые прогнозные значения рассчитываются путем умножения трендовой составляющей на соответствующие сезонные коэффициенты.
Формула мултипликативной модели:
Yt = dt * rt, где 
dt - Трендовая Составляющая
rt - Сезонная Составляющая 
Итоговые прогнозные значения представлены в столбце B и выделены синим цветом.
Проверка корректности прогноза производилась путем построения линии тренда на графике временного ряда,
а также анализа уравнения линейной регрессии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</si>
</sst>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scheme val="minor"/>
    </font>
    <font>
      <sz val="11"/>
      <name val="Calibri"/>
      <family val="2"/>
      <charset val="204"/>
    </font>
    <font>
      <sz val="11"/>
      <color rgb="FF000000"/>
      <name val="Calibri"/>
      <family val="2"/>
      <scheme val="minor"/>
    </font>
    <font>
      <sz val="10.5"/>
      <color rgb="FF262626"/>
      <name val="Arial"/>
      <family val="2"/>
      <charset val="204"/>
    </font>
    <font>
      <b/>
      <sz val="11"/>
      <name val="Calibri"/>
      <family val="2"/>
      <charset val="204"/>
    </font>
    <font>
      <sz val="10"/>
      <name val="Calibri"/>
      <family val="2"/>
      <charset val="204"/>
      <scheme val="minor"/>
    </font>
    <font>
      <i/>
      <sz val="11"/>
      <name val="Calibri"/>
      <family val="2"/>
      <charset val="204"/>
    </font>
    <font>
      <sz val="11"/>
      <color rgb="FF000000"/>
      <name val="Calibri"/>
      <family val="2"/>
      <charset val="204"/>
      <scheme val="minor"/>
    </font>
    <font>
      <sz val="9"/>
      <color indexed="81"/>
      <name val="Tahoma"/>
      <charset val="1"/>
    </font>
    <font>
      <b/>
      <sz val="9"/>
      <color indexed="81"/>
      <name val="Tahoma"/>
      <charset val="1"/>
    </font>
    <font>
      <sz val="10"/>
      <color rgb="FF000000"/>
      <name val="Arial"/>
      <family val="2"/>
      <charset val="204"/>
    </font>
    <font>
      <i/>
      <sz val="10"/>
      <name val="Arial"/>
      <family val="2"/>
      <charset val="204"/>
    </font>
    <font>
      <sz val="9"/>
      <color indexed="81"/>
      <name val="Tahoma"/>
      <family val="2"/>
      <charset val="204"/>
    </font>
    <font>
      <b/>
      <sz val="9"/>
      <color indexed="81"/>
      <name val="Tahoma"/>
      <family val="2"/>
      <charset val="204"/>
    </font>
  </fonts>
  <fills count="10">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theme="6" tint="0.59999389629810485"/>
      </left>
      <right/>
      <top style="medium">
        <color theme="6" tint="0.59999389629810485"/>
      </top>
      <bottom/>
      <diagonal/>
    </border>
    <border>
      <left/>
      <right/>
      <top style="medium">
        <color theme="6" tint="0.59999389629810485"/>
      </top>
      <bottom/>
      <diagonal/>
    </border>
    <border>
      <left/>
      <right style="medium">
        <color theme="6" tint="0.59999389629810485"/>
      </right>
      <top style="medium">
        <color theme="6" tint="0.59999389629810485"/>
      </top>
      <bottom/>
      <diagonal/>
    </border>
    <border>
      <left style="medium">
        <color theme="6" tint="0.59999389629810485"/>
      </left>
      <right/>
      <top/>
      <bottom/>
      <diagonal/>
    </border>
    <border>
      <left/>
      <right style="medium">
        <color theme="6" tint="0.59999389629810485"/>
      </right>
      <top/>
      <bottom/>
      <diagonal/>
    </border>
    <border>
      <left style="medium">
        <color theme="6" tint="0.59999389629810485"/>
      </left>
      <right style="thin">
        <color indexed="64"/>
      </right>
      <top style="thin">
        <color indexed="64"/>
      </top>
      <bottom style="thin">
        <color indexed="64"/>
      </bottom>
      <diagonal/>
    </border>
    <border>
      <left style="medium">
        <color theme="6" tint="0.59999389629810485"/>
      </left>
      <right/>
      <top/>
      <bottom style="medium">
        <color theme="6" tint="0.59999389629810485"/>
      </bottom>
      <diagonal/>
    </border>
    <border>
      <left/>
      <right/>
      <top/>
      <bottom style="medium">
        <color theme="6" tint="0.59999389629810485"/>
      </bottom>
      <diagonal/>
    </border>
    <border>
      <left/>
      <right style="medium">
        <color theme="6" tint="0.59999389629810485"/>
      </right>
      <top/>
      <bottom style="medium">
        <color theme="6" tint="0.59999389629810485"/>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2" fillId="0" borderId="0"/>
    <xf numFmtId="9" fontId="2" fillId="0" borderId="0" applyFont="0" applyFill="0" applyBorder="0" applyAlignment="0" applyProtection="0"/>
  </cellStyleXfs>
  <cellXfs count="70">
    <xf numFmtId="0" fontId="1" fillId="0" borderId="0" xfId="0" applyFont="1" applyFill="1" applyBorder="1"/>
    <xf numFmtId="0" fontId="3" fillId="0" borderId="0" xfId="0" applyFont="1" applyFill="1" applyBorder="1" applyAlignment="1">
      <alignment horizontal="justify" vertical="center"/>
    </xf>
    <xf numFmtId="0" fontId="1" fillId="0" borderId="0" xfId="0" applyFont="1" applyFill="1" applyBorder="1" applyAlignment="1">
      <alignment horizontal="center" vertical="center"/>
    </xf>
    <xf numFmtId="0" fontId="3" fillId="0" borderId="0" xfId="0" applyFont="1" applyFill="1" applyBorder="1" applyAlignment="1">
      <alignment horizontal="justify" vertical="center" wrapText="1"/>
    </xf>
    <xf numFmtId="0" fontId="4" fillId="0" borderId="0" xfId="0" applyFont="1" applyFill="1" applyBorder="1"/>
    <xf numFmtId="0" fontId="5" fillId="0" borderId="0" xfId="0" applyFont="1" applyFill="1" applyBorder="1"/>
    <xf numFmtId="0" fontId="1" fillId="0" borderId="1" xfId="0" applyFont="1" applyFill="1" applyBorder="1"/>
    <xf numFmtId="0" fontId="1" fillId="0" borderId="1" xfId="0" applyFont="1" applyFill="1" applyBorder="1" applyAlignment="1">
      <alignment wrapText="1"/>
    </xf>
    <xf numFmtId="0" fontId="6" fillId="0" borderId="0" xfId="0" applyFont="1" applyFill="1" applyBorder="1" applyAlignment="1">
      <alignment vertical="center" wrapText="1"/>
    </xf>
    <xf numFmtId="0" fontId="1" fillId="0" borderId="0" xfId="0" applyFont="1" applyFill="1" applyBorder="1" applyAlignment="1">
      <alignment vertical="center" wrapText="1"/>
    </xf>
    <xf numFmtId="17" fontId="1" fillId="0" borderId="0" xfId="0" applyNumberFormat="1" applyFont="1" applyFill="1" applyBorder="1"/>
    <xf numFmtId="0" fontId="1" fillId="0" borderId="1" xfId="0" applyFont="1" applyFill="1" applyBorder="1" applyAlignment="1">
      <alignment horizontal="center" vertical="center" wrapText="1"/>
    </xf>
    <xf numFmtId="0" fontId="1" fillId="0" borderId="2" xfId="0" applyFont="1" applyFill="1" applyBorder="1"/>
    <xf numFmtId="0" fontId="1" fillId="0" borderId="3" xfId="0" applyFont="1" applyFill="1" applyBorder="1"/>
    <xf numFmtId="0" fontId="1" fillId="0" borderId="4" xfId="0" applyFont="1" applyFill="1" applyBorder="1"/>
    <xf numFmtId="0" fontId="1" fillId="0" borderId="5" xfId="0" applyFont="1" applyFill="1" applyBorder="1"/>
    <xf numFmtId="0" fontId="1" fillId="0" borderId="6" xfId="0" applyFont="1" applyFill="1" applyBorder="1"/>
    <xf numFmtId="0" fontId="4" fillId="0" borderId="5" xfId="0" applyFont="1" applyFill="1" applyBorder="1"/>
    <xf numFmtId="0" fontId="1" fillId="0" borderId="7" xfId="0" applyFont="1" applyFill="1" applyBorder="1"/>
    <xf numFmtId="0" fontId="6" fillId="0" borderId="5" xfId="0" applyFont="1" applyFill="1" applyBorder="1" applyAlignment="1">
      <alignment vertical="center" wrapText="1"/>
    </xf>
    <xf numFmtId="0" fontId="1" fillId="0" borderId="6" xfId="0" applyFont="1" applyFill="1" applyBorder="1" applyAlignment="1">
      <alignment vertical="center" wrapText="1"/>
    </xf>
    <xf numFmtId="0" fontId="1" fillId="0" borderId="5" xfId="0" applyFont="1" applyFill="1" applyBorder="1" applyAlignment="1">
      <alignment vertical="center"/>
    </xf>
    <xf numFmtId="0" fontId="1" fillId="0" borderId="8" xfId="0" applyFont="1" applyFill="1" applyBorder="1"/>
    <xf numFmtId="0" fontId="1" fillId="0" borderId="9" xfId="0" applyFont="1" applyFill="1" applyBorder="1"/>
    <xf numFmtId="0" fontId="1" fillId="0" borderId="10" xfId="0" applyFont="1" applyFill="1" applyBorder="1"/>
    <xf numFmtId="0" fontId="7" fillId="0" borderId="5" xfId="0" applyFont="1" applyFill="1" applyBorder="1"/>
    <xf numFmtId="0" fontId="1" fillId="0" borderId="7" xfId="0" applyFont="1" applyFill="1" applyBorder="1" applyAlignment="1">
      <alignment horizontal="center" vertical="center" wrapText="1"/>
    </xf>
    <xf numFmtId="17" fontId="1" fillId="0" borderId="7" xfId="0" applyNumberFormat="1" applyFont="1" applyFill="1" applyBorder="1"/>
    <xf numFmtId="17" fontId="1" fillId="0" borderId="5" xfId="0" applyNumberFormat="1" applyFont="1" applyFill="1" applyBorder="1"/>
    <xf numFmtId="17" fontId="1" fillId="0" borderId="8" xfId="0" applyNumberFormat="1" applyFont="1" applyFill="1" applyBorder="1"/>
    <xf numFmtId="0" fontId="4" fillId="0" borderId="2" xfId="0" applyFont="1" applyFill="1" applyBorder="1"/>
    <xf numFmtId="17" fontId="1" fillId="3" borderId="7" xfId="0" applyNumberFormat="1" applyFont="1" applyFill="1" applyBorder="1"/>
    <xf numFmtId="0" fontId="11" fillId="0" borderId="0" xfId="0" applyFont="1" applyFill="1" applyBorder="1"/>
    <xf numFmtId="17" fontId="1" fillId="4" borderId="7" xfId="0" applyNumberFormat="1" applyFont="1" applyFill="1" applyBorder="1"/>
    <xf numFmtId="17" fontId="1" fillId="5" borderId="7" xfId="0" applyNumberFormat="1" applyFont="1" applyFill="1" applyBorder="1"/>
    <xf numFmtId="0" fontId="1" fillId="6" borderId="0" xfId="0" applyFont="1" applyFill="1" applyBorder="1"/>
    <xf numFmtId="0" fontId="1" fillId="0" borderId="11" xfId="0" applyFont="1" applyFill="1" applyBorder="1"/>
    <xf numFmtId="0" fontId="1" fillId="0" borderId="12" xfId="0" applyFont="1" applyFill="1" applyBorder="1"/>
    <xf numFmtId="0" fontId="1" fillId="4" borderId="12" xfId="0" applyFont="1" applyFill="1" applyBorder="1"/>
    <xf numFmtId="0" fontId="1" fillId="5" borderId="12" xfId="0" applyFont="1" applyFill="1" applyBorder="1"/>
    <xf numFmtId="0" fontId="1" fillId="0" borderId="13" xfId="0" applyFont="1" applyFill="1" applyBorder="1"/>
    <xf numFmtId="1" fontId="1" fillId="3" borderId="12" xfId="0" applyNumberFormat="1" applyFont="1" applyFill="1" applyBorder="1"/>
    <xf numFmtId="9" fontId="1" fillId="0" borderId="11" xfId="2" applyFont="1" applyFill="1" applyBorder="1"/>
    <xf numFmtId="9" fontId="1" fillId="0" borderId="12" xfId="2" applyFont="1" applyFill="1" applyBorder="1"/>
    <xf numFmtId="1" fontId="1" fillId="0" borderId="0" xfId="0" applyNumberFormat="1" applyFont="1" applyFill="1" applyBorder="1"/>
    <xf numFmtId="9" fontId="1" fillId="0" borderId="0" xfId="2" applyFont="1" applyFill="1" applyBorder="1"/>
    <xf numFmtId="0" fontId="1" fillId="0" borderId="14" xfId="0" applyFont="1" applyFill="1" applyBorder="1"/>
    <xf numFmtId="0" fontId="1" fillId="0" borderId="15" xfId="0" applyFont="1" applyFill="1" applyBorder="1"/>
    <xf numFmtId="0" fontId="1" fillId="0" borderId="16" xfId="0" applyFont="1" applyFill="1" applyBorder="1"/>
    <xf numFmtId="1" fontId="1" fillId="7" borderId="12" xfId="0" applyNumberFormat="1" applyFont="1" applyFill="1" applyBorder="1"/>
    <xf numFmtId="9" fontId="1" fillId="8" borderId="12" xfId="2" applyFont="1" applyFill="1" applyBorder="1"/>
    <xf numFmtId="1" fontId="1" fillId="9" borderId="1" xfId="0" applyNumberFormat="1" applyFont="1" applyFill="1" applyBorder="1"/>
    <xf numFmtId="0" fontId="1" fillId="9" borderId="5" xfId="0" applyFont="1" applyFill="1" applyBorder="1"/>
    <xf numFmtId="0" fontId="1" fillId="9" borderId="0" xfId="0" applyFont="1" applyFill="1" applyBorder="1"/>
    <xf numFmtId="0" fontId="4" fillId="9" borderId="0" xfId="0" applyFont="1" applyFill="1" applyBorder="1"/>
    <xf numFmtId="0" fontId="1" fillId="9" borderId="6" xfId="0" applyFont="1" applyFill="1" applyBorder="1"/>
    <xf numFmtId="0" fontId="4" fillId="2" borderId="0" xfId="0" applyFont="1" applyFill="1" applyBorder="1" applyAlignment="1">
      <alignment horizontal="center"/>
    </xf>
    <xf numFmtId="0" fontId="10" fillId="0" borderId="0" xfId="0" applyFont="1" applyFill="1" applyBorder="1" applyAlignment="1"/>
    <xf numFmtId="0" fontId="1" fillId="0" borderId="0" xfId="0" applyFont="1" applyFill="1" applyBorder="1" applyAlignment="1"/>
    <xf numFmtId="0" fontId="10" fillId="0" borderId="5" xfId="0" applyFont="1" applyFill="1" applyBorder="1" applyAlignment="1"/>
    <xf numFmtId="0" fontId="1" fillId="0" borderId="5" xfId="0" applyFont="1" applyFill="1" applyBorder="1" applyAlignment="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7" fillId="0" borderId="5" xfId="0" applyFont="1" applyFill="1" applyBorder="1" applyAlignment="1">
      <alignment vertical="top" wrapText="1"/>
    </xf>
    <xf numFmtId="0" fontId="1" fillId="0" borderId="0" xfId="0" applyFont="1" applyFill="1" applyBorder="1" applyAlignment="1">
      <alignment vertical="top"/>
    </xf>
    <xf numFmtId="0" fontId="1" fillId="0" borderId="5" xfId="0" applyFont="1" applyFill="1" applyBorder="1" applyAlignment="1">
      <alignment vertical="top"/>
    </xf>
    <xf numFmtId="0" fontId="1" fillId="0" borderId="5" xfId="0" applyFont="1" applyFill="1" applyBorder="1" applyAlignment="1">
      <alignment vertical="top" wrapText="1"/>
    </xf>
    <xf numFmtId="0" fontId="1" fillId="6" borderId="0" xfId="0" applyFont="1" applyFill="1" applyBorder="1" applyAlignment="1">
      <alignment vertical="center"/>
    </xf>
    <xf numFmtId="0" fontId="0" fillId="0" borderId="5" xfId="0" applyFont="1" applyFill="1" applyBorder="1" applyAlignment="1"/>
  </cellXfs>
  <cellStyles count="3">
    <cellStyle name="Normal" xfId="1" xr:uid="{00000000-0005-0000-0000-000000000000}"/>
    <cellStyle name="Обычный" xfId="0" builtinId="0"/>
    <cellStyle name="Процентный"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7292CC"/>
      <rgbColor rgb="00FFFFFF"/>
      <rgbColor rgb="00DCDCD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
  <sheetViews>
    <sheetView showGridLines="0" zoomScaleNormal="100" workbookViewId="0">
      <selection activeCell="B32" sqref="B32"/>
    </sheetView>
  </sheetViews>
  <sheetFormatPr defaultRowHeight="15" x14ac:dyDescent="0.25"/>
  <cols>
    <col min="1" max="7" width="20.140625" customWidth="1"/>
    <col min="8" max="8" width="4.28515625" customWidth="1"/>
    <col min="9" max="9" width="14" customWidth="1"/>
  </cols>
  <sheetData>
    <row r="1" spans="1:30" ht="15.75" thickBot="1" x14ac:dyDescent="0.3">
      <c r="A1" s="56" t="s">
        <v>13</v>
      </c>
      <c r="B1" s="56"/>
      <c r="C1" s="56"/>
      <c r="D1" s="56"/>
      <c r="E1" s="56"/>
      <c r="F1" s="56"/>
      <c r="G1" s="56"/>
      <c r="H1" s="56"/>
      <c r="I1" s="57" t="s">
        <v>72</v>
      </c>
      <c r="J1" s="58"/>
      <c r="K1" s="58"/>
      <c r="L1" s="58"/>
      <c r="M1" s="58"/>
      <c r="N1" s="58"/>
      <c r="O1" s="58"/>
      <c r="P1" s="58"/>
      <c r="Q1" s="58"/>
      <c r="R1" s="58"/>
      <c r="S1" s="58"/>
      <c r="T1" s="58"/>
      <c r="U1" s="58"/>
      <c r="V1" s="58"/>
      <c r="W1" s="58"/>
      <c r="X1" s="58"/>
      <c r="Y1" s="58"/>
      <c r="Z1" s="58"/>
      <c r="AA1" s="58"/>
      <c r="AB1" s="58"/>
      <c r="AC1" s="58"/>
      <c r="AD1" s="58"/>
    </row>
    <row r="2" spans="1:30" x14ac:dyDescent="0.25">
      <c r="A2" s="30" t="s">
        <v>27</v>
      </c>
      <c r="B2" s="13"/>
      <c r="C2" s="13"/>
      <c r="D2" s="13"/>
      <c r="E2" s="13"/>
      <c r="F2" s="13"/>
      <c r="G2" s="13"/>
      <c r="H2" s="14"/>
      <c r="I2" s="60" t="s">
        <v>73</v>
      </c>
      <c r="J2" s="58"/>
      <c r="K2" s="58"/>
      <c r="L2" s="58"/>
      <c r="M2" s="58"/>
      <c r="N2" s="58"/>
      <c r="O2" s="58"/>
      <c r="P2" s="58"/>
      <c r="Q2" s="58"/>
      <c r="R2" s="58"/>
      <c r="S2" s="58"/>
      <c r="T2" s="58"/>
      <c r="U2" s="58"/>
    </row>
    <row r="3" spans="1:30" x14ac:dyDescent="0.25">
      <c r="A3" s="15"/>
      <c r="H3" s="16"/>
      <c r="I3" s="59" t="s">
        <v>71</v>
      </c>
      <c r="J3" s="58"/>
      <c r="K3" s="58"/>
      <c r="L3" s="58"/>
      <c r="M3" s="58"/>
      <c r="N3" s="58"/>
      <c r="O3" s="58"/>
      <c r="P3" s="58"/>
      <c r="Q3" s="58"/>
      <c r="R3" s="58"/>
      <c r="S3" s="58"/>
      <c r="T3" s="58"/>
      <c r="U3" s="58"/>
      <c r="V3" s="58"/>
      <c r="W3" s="58"/>
      <c r="X3" s="58"/>
      <c r="Y3" s="58"/>
      <c r="Z3" s="58"/>
      <c r="AA3" s="58"/>
      <c r="AB3" s="58"/>
      <c r="AC3" s="58"/>
      <c r="AD3" s="58"/>
    </row>
    <row r="4" spans="1:30" x14ac:dyDescent="0.25">
      <c r="A4" s="17" t="s">
        <v>56</v>
      </c>
      <c r="H4" s="16"/>
      <c r="I4" s="32"/>
      <c r="J4" s="32"/>
      <c r="K4" s="32"/>
      <c r="L4" s="32"/>
      <c r="M4" s="32"/>
      <c r="N4" s="32"/>
      <c r="O4" s="32"/>
      <c r="P4" s="32"/>
      <c r="Q4" s="32"/>
      <c r="R4" s="32"/>
      <c r="S4" s="32"/>
      <c r="T4" s="32"/>
      <c r="U4" s="32"/>
      <c r="V4" s="32"/>
      <c r="W4" s="32"/>
      <c r="X4" s="32"/>
      <c r="Y4" s="32"/>
      <c r="Z4" s="32"/>
      <c r="AA4" s="32"/>
      <c r="AB4" s="32"/>
      <c r="AC4" s="32"/>
      <c r="AD4" s="32"/>
    </row>
    <row r="5" spans="1:30" x14ac:dyDescent="0.25">
      <c r="A5" s="18" t="s">
        <v>23</v>
      </c>
      <c r="B5" s="6" t="s">
        <v>24</v>
      </c>
      <c r="C5" s="6" t="s">
        <v>25</v>
      </c>
      <c r="D5" s="6" t="s">
        <v>26</v>
      </c>
      <c r="H5" s="16"/>
    </row>
    <row r="6" spans="1:30" s="9" customFormat="1" ht="75" x14ac:dyDescent="0.25">
      <c r="A6" s="19" t="s">
        <v>36</v>
      </c>
      <c r="B6" s="8" t="s">
        <v>39</v>
      </c>
      <c r="C6" s="8" t="s">
        <v>31</v>
      </c>
      <c r="D6" s="8" t="s">
        <v>32</v>
      </c>
      <c r="H6" s="20"/>
    </row>
    <row r="7" spans="1:30" s="9" customFormat="1" x14ac:dyDescent="0.25">
      <c r="A7" s="19"/>
      <c r="B7" s="8"/>
      <c r="C7" s="8"/>
      <c r="D7" s="8"/>
      <c r="H7" s="20"/>
    </row>
    <row r="8" spans="1:30" s="9" customFormat="1" x14ac:dyDescent="0.25">
      <c r="A8" s="21" t="s">
        <v>57</v>
      </c>
      <c r="H8" s="20"/>
    </row>
    <row r="9" spans="1:30" x14ac:dyDescent="0.25">
      <c r="A9" s="15"/>
      <c r="H9" s="16"/>
    </row>
    <row r="10" spans="1:30" x14ac:dyDescent="0.25">
      <c r="A10" s="17" t="s">
        <v>58</v>
      </c>
      <c r="H10" s="16"/>
    </row>
    <row r="11" spans="1:30" ht="18" customHeight="1" x14ac:dyDescent="0.25">
      <c r="A11" s="18" t="s">
        <v>23</v>
      </c>
      <c r="B11" s="7" t="s">
        <v>29</v>
      </c>
      <c r="C11" s="6" t="s">
        <v>28</v>
      </c>
      <c r="D11" s="6" t="s">
        <v>30</v>
      </c>
      <c r="E11" s="6" t="s">
        <v>34</v>
      </c>
      <c r="F11" s="6" t="s">
        <v>35</v>
      </c>
      <c r="G11" s="6" t="s">
        <v>37</v>
      </c>
      <c r="H11" s="16"/>
    </row>
    <row r="12" spans="1:30" s="8" customFormat="1" ht="47.25" customHeight="1" x14ac:dyDescent="0.25">
      <c r="A12" s="19" t="s">
        <v>46</v>
      </c>
      <c r="B12" s="8" t="s">
        <v>40</v>
      </c>
      <c r="C12" s="8" t="s">
        <v>41</v>
      </c>
      <c r="D12" s="8" t="s">
        <v>33</v>
      </c>
      <c r="E12" s="8" t="s">
        <v>42</v>
      </c>
      <c r="F12" s="8" t="s">
        <v>43</v>
      </c>
      <c r="G12" s="8" t="s">
        <v>38</v>
      </c>
      <c r="H12" s="16"/>
    </row>
    <row r="13" spans="1:30" x14ac:dyDescent="0.25">
      <c r="A13" s="15"/>
      <c r="H13" s="16"/>
    </row>
    <row r="14" spans="1:30" x14ac:dyDescent="0.25">
      <c r="A14" s="17" t="s">
        <v>69</v>
      </c>
      <c r="H14" s="16"/>
    </row>
    <row r="15" spans="1:30" x14ac:dyDescent="0.25">
      <c r="A15" s="15"/>
      <c r="H15" s="16"/>
    </row>
    <row r="16" spans="1:30" x14ac:dyDescent="0.25">
      <c r="A16" s="15" t="s">
        <v>55</v>
      </c>
      <c r="H16" s="16"/>
    </row>
    <row r="17" spans="1:8" x14ac:dyDescent="0.25">
      <c r="A17" s="15" t="s">
        <v>47</v>
      </c>
      <c r="H17" s="16"/>
    </row>
    <row r="18" spans="1:8" x14ac:dyDescent="0.25">
      <c r="A18" s="15"/>
      <c r="H18" s="16"/>
    </row>
    <row r="19" spans="1:8" ht="15.75" thickBot="1" x14ac:dyDescent="0.3">
      <c r="A19" s="22"/>
      <c r="B19" s="23"/>
      <c r="C19" s="23"/>
      <c r="D19" s="23"/>
      <c r="E19" s="23"/>
      <c r="F19" s="23"/>
      <c r="G19" s="23"/>
      <c r="H19" s="24"/>
    </row>
  </sheetData>
  <mergeCells count="4">
    <mergeCell ref="A1:H1"/>
    <mergeCell ref="I1:AD1"/>
    <mergeCell ref="I3:AD3"/>
    <mergeCell ref="I2:U2"/>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election activeCell="K8" sqref="K8"/>
    </sheetView>
  </sheetViews>
  <sheetFormatPr defaultRowHeight="15" x14ac:dyDescent="0.25"/>
  <cols>
    <col min="1" max="1" width="6.140625" customWidth="1"/>
    <col min="2" max="2" width="93" customWidth="1"/>
  </cols>
  <sheetData>
    <row r="1" spans="1:2" x14ac:dyDescent="0.25">
      <c r="B1" s="4" t="s">
        <v>22</v>
      </c>
    </row>
    <row r="2" spans="1:2" x14ac:dyDescent="0.25">
      <c r="A2" t="s">
        <v>15</v>
      </c>
    </row>
    <row r="3" spans="1:2" ht="22.5" customHeight="1" x14ac:dyDescent="0.25"/>
    <row r="4" spans="1:2" ht="45.75" customHeight="1" x14ac:dyDescent="0.25">
      <c r="A4" s="2" t="s">
        <v>9</v>
      </c>
      <c r="B4" s="1" t="s">
        <v>10</v>
      </c>
    </row>
    <row r="5" spans="1:2" ht="22.5" customHeight="1" x14ac:dyDescent="0.25"/>
    <row r="6" spans="1:2" ht="112.5" customHeight="1" x14ac:dyDescent="0.25">
      <c r="A6" s="2" t="s">
        <v>11</v>
      </c>
      <c r="B6" s="3" t="s">
        <v>12</v>
      </c>
    </row>
    <row r="7" spans="1:2" ht="22.5" customHeight="1" x14ac:dyDescent="0.25"/>
    <row r="8" spans="1:2" ht="22.5" customHeight="1" x14ac:dyDescent="0.25"/>
    <row r="9" spans="1:2" ht="22.5"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9"/>
  <sheetViews>
    <sheetView showGridLines="0" workbookViewId="0">
      <selection activeCell="R34" sqref="R34"/>
    </sheetView>
  </sheetViews>
  <sheetFormatPr defaultRowHeight="15" x14ac:dyDescent="0.25"/>
  <cols>
    <col min="1" max="2" width="8.28515625" customWidth="1"/>
    <col min="15" max="15" width="11.140625" customWidth="1"/>
  </cols>
  <sheetData>
    <row r="1" spans="1:15" ht="15.75" thickBot="1" x14ac:dyDescent="0.3">
      <c r="A1" s="56" t="s">
        <v>14</v>
      </c>
      <c r="B1" s="56"/>
      <c r="C1" s="56"/>
      <c r="D1" s="56"/>
      <c r="E1" s="56"/>
      <c r="F1" s="56"/>
      <c r="G1" s="56"/>
      <c r="H1" s="56"/>
      <c r="I1" s="56"/>
      <c r="J1" s="56"/>
      <c r="K1" s="56"/>
      <c r="L1" s="56"/>
      <c r="M1" s="56"/>
      <c r="N1" s="56"/>
      <c r="O1" s="56"/>
    </row>
    <row r="2" spans="1:15" x14ac:dyDescent="0.25">
      <c r="A2" s="12"/>
      <c r="B2" s="13"/>
      <c r="C2" s="13"/>
      <c r="D2" s="13"/>
      <c r="E2" s="13"/>
      <c r="F2" s="13"/>
      <c r="G2" s="13"/>
      <c r="H2" s="13"/>
      <c r="I2" s="13"/>
      <c r="J2" s="13"/>
      <c r="K2" s="13"/>
      <c r="L2" s="13"/>
      <c r="M2" s="13"/>
      <c r="N2" s="13"/>
      <c r="O2" s="14"/>
    </row>
    <row r="3" spans="1:15" x14ac:dyDescent="0.25">
      <c r="A3" s="15" t="s">
        <v>44</v>
      </c>
      <c r="O3" s="16"/>
    </row>
    <row r="4" spans="1:15" x14ac:dyDescent="0.25">
      <c r="A4" s="15"/>
      <c r="O4" s="16"/>
    </row>
    <row r="5" spans="1:15" x14ac:dyDescent="0.25">
      <c r="A5" s="15" t="s">
        <v>4</v>
      </c>
      <c r="B5" t="s">
        <v>60</v>
      </c>
      <c r="O5" s="16"/>
    </row>
    <row r="6" spans="1:15" x14ac:dyDescent="0.25">
      <c r="A6" s="15"/>
      <c r="O6" s="16"/>
    </row>
    <row r="7" spans="1:15" x14ac:dyDescent="0.25">
      <c r="A7" s="52"/>
      <c r="B7" s="53" t="s">
        <v>0</v>
      </c>
      <c r="C7" s="53"/>
      <c r="D7" s="53"/>
      <c r="E7" s="53"/>
      <c r="O7" s="16"/>
    </row>
    <row r="8" spans="1:15" x14ac:dyDescent="0.25">
      <c r="A8" s="52"/>
      <c r="B8" s="53" t="s">
        <v>1</v>
      </c>
      <c r="C8" s="53"/>
      <c r="D8" s="53"/>
      <c r="E8" s="53"/>
      <c r="O8" s="16"/>
    </row>
    <row r="9" spans="1:15" x14ac:dyDescent="0.25">
      <c r="A9" s="52"/>
      <c r="B9" s="53" t="s">
        <v>54</v>
      </c>
      <c r="C9" s="53"/>
      <c r="D9" s="53"/>
      <c r="E9" s="53"/>
      <c r="O9" s="16"/>
    </row>
    <row r="10" spans="1:15" x14ac:dyDescent="0.25">
      <c r="A10" s="52"/>
      <c r="B10" s="53" t="s">
        <v>2</v>
      </c>
      <c r="C10" s="53"/>
      <c r="D10" s="53"/>
      <c r="E10" s="53"/>
      <c r="O10" s="16"/>
    </row>
    <row r="11" spans="1:15" x14ac:dyDescent="0.25">
      <c r="A11" s="52"/>
      <c r="B11" s="53" t="s">
        <v>68</v>
      </c>
      <c r="C11" s="53"/>
      <c r="D11" s="53"/>
      <c r="E11" s="53"/>
      <c r="F11" s="53"/>
      <c r="O11" s="16"/>
    </row>
    <row r="12" spans="1:15" x14ac:dyDescent="0.25">
      <c r="A12" s="52"/>
      <c r="B12" s="53" t="s">
        <v>65</v>
      </c>
      <c r="C12" s="53"/>
      <c r="D12" s="53"/>
      <c r="E12" s="53"/>
      <c r="F12" s="53"/>
      <c r="G12" s="53"/>
      <c r="H12" s="53"/>
      <c r="I12" s="53"/>
      <c r="O12" s="16"/>
    </row>
    <row r="13" spans="1:15" x14ac:dyDescent="0.25">
      <c r="A13" s="52"/>
      <c r="B13" s="53" t="s">
        <v>3</v>
      </c>
      <c r="C13" s="53"/>
      <c r="D13" s="53"/>
      <c r="E13" s="53"/>
      <c r="F13" s="53"/>
      <c r="O13" s="16"/>
    </row>
    <row r="14" spans="1:15" x14ac:dyDescent="0.25">
      <c r="A14" s="15"/>
      <c r="O14" s="16"/>
    </row>
    <row r="15" spans="1:15" x14ac:dyDescent="0.25">
      <c r="A15" s="15"/>
      <c r="O15" s="16"/>
    </row>
    <row r="16" spans="1:15" x14ac:dyDescent="0.25">
      <c r="A16" s="52" t="s">
        <v>5</v>
      </c>
      <c r="B16" s="53" t="s">
        <v>61</v>
      </c>
      <c r="C16" s="53"/>
      <c r="D16" s="53"/>
      <c r="E16" s="53"/>
      <c r="F16" s="53"/>
      <c r="O16" s="16"/>
    </row>
    <row r="17" spans="1:15" x14ac:dyDescent="0.25">
      <c r="A17" s="15"/>
      <c r="O17" s="16"/>
    </row>
    <row r="18" spans="1:15" x14ac:dyDescent="0.25">
      <c r="A18" s="15"/>
      <c r="O18" s="16"/>
    </row>
    <row r="19" spans="1:15" x14ac:dyDescent="0.25">
      <c r="A19" s="52" t="s">
        <v>6</v>
      </c>
      <c r="B19" s="54" t="s">
        <v>63</v>
      </c>
      <c r="C19" s="53"/>
      <c r="D19" s="53"/>
      <c r="E19" s="53"/>
      <c r="O19" s="16"/>
    </row>
    <row r="20" spans="1:15" x14ac:dyDescent="0.25">
      <c r="A20" s="52"/>
      <c r="B20" s="53" t="s">
        <v>62</v>
      </c>
      <c r="C20" s="53"/>
      <c r="D20" s="53"/>
      <c r="E20" s="53"/>
      <c r="O20" s="16"/>
    </row>
    <row r="21" spans="1:15" x14ac:dyDescent="0.25">
      <c r="A21" s="52"/>
      <c r="B21" s="53" t="s">
        <v>64</v>
      </c>
      <c r="C21" s="53"/>
      <c r="D21" s="53"/>
      <c r="E21" s="53"/>
      <c r="O21" s="16"/>
    </row>
    <row r="22" spans="1:15" x14ac:dyDescent="0.25">
      <c r="A22" s="15"/>
      <c r="O22" s="16"/>
    </row>
    <row r="23" spans="1:15" x14ac:dyDescent="0.25">
      <c r="A23" s="52"/>
      <c r="B23" s="53"/>
      <c r="C23" s="53"/>
      <c r="D23" s="53"/>
      <c r="E23" s="53"/>
      <c r="F23" s="53"/>
      <c r="O23" s="16"/>
    </row>
    <row r="24" spans="1:15" x14ac:dyDescent="0.25">
      <c r="A24" s="52" t="s">
        <v>7</v>
      </c>
      <c r="B24" s="54" t="s">
        <v>8</v>
      </c>
      <c r="C24" s="53"/>
      <c r="D24" s="53"/>
      <c r="E24" s="53"/>
      <c r="F24" s="53"/>
      <c r="O24" s="16"/>
    </row>
    <row r="25" spans="1:15" x14ac:dyDescent="0.25">
      <c r="A25" s="52"/>
      <c r="B25" s="53" t="s">
        <v>66</v>
      </c>
      <c r="C25" s="53"/>
      <c r="D25" s="53"/>
      <c r="E25" s="53"/>
      <c r="F25" s="53"/>
      <c r="O25" s="16"/>
    </row>
    <row r="26" spans="1:15" x14ac:dyDescent="0.25">
      <c r="A26" s="52"/>
      <c r="B26" s="53" t="s">
        <v>67</v>
      </c>
      <c r="C26" s="53"/>
      <c r="D26" s="53"/>
      <c r="E26" s="53"/>
      <c r="F26" s="53"/>
      <c r="O26" s="16"/>
    </row>
    <row r="27" spans="1:15" x14ac:dyDescent="0.25">
      <c r="A27" s="15"/>
      <c r="O27" s="16"/>
    </row>
    <row r="28" spans="1:15" ht="14.25" customHeight="1" x14ac:dyDescent="0.25">
      <c r="A28" s="52" t="s">
        <v>70</v>
      </c>
      <c r="B28" s="54" t="s">
        <v>45</v>
      </c>
      <c r="C28" s="53"/>
      <c r="D28" s="53"/>
      <c r="E28" s="53"/>
      <c r="F28" s="53"/>
      <c r="G28" s="53"/>
      <c r="H28" s="53"/>
      <c r="I28" s="53"/>
      <c r="J28" s="53"/>
      <c r="K28" s="53"/>
      <c r="L28" s="53"/>
      <c r="M28" s="53"/>
      <c r="N28" s="53"/>
      <c r="O28" s="55"/>
    </row>
    <row r="29" spans="1:15" ht="15.75" thickBot="1" x14ac:dyDescent="0.3">
      <c r="A29" s="22"/>
      <c r="B29" s="23"/>
      <c r="C29" s="23"/>
      <c r="D29" s="23"/>
      <c r="E29" s="23"/>
      <c r="F29" s="23"/>
      <c r="G29" s="23"/>
      <c r="H29" s="23"/>
      <c r="I29" s="23"/>
      <c r="J29" s="23"/>
      <c r="K29" s="23"/>
      <c r="L29" s="23"/>
      <c r="M29" s="23"/>
      <c r="N29" s="23"/>
      <c r="O29" s="24"/>
    </row>
  </sheetData>
  <mergeCells count="1">
    <mergeCell ref="A1:O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51"/>
  <sheetViews>
    <sheetView showGridLines="0" tabSelected="1" workbookViewId="0">
      <selection activeCell="K17" sqref="K17"/>
    </sheetView>
  </sheetViews>
  <sheetFormatPr defaultRowHeight="15" x14ac:dyDescent="0.25"/>
  <cols>
    <col min="1" max="2" width="10.42578125" customWidth="1"/>
    <col min="3" max="3" width="19.7109375" customWidth="1"/>
    <col min="4" max="4" width="11.7109375" customWidth="1"/>
    <col min="5" max="15" width="10.42578125" customWidth="1"/>
  </cols>
  <sheetData>
    <row r="1" spans="1:33" x14ac:dyDescent="0.25">
      <c r="A1" s="61" t="s">
        <v>22</v>
      </c>
      <c r="B1" s="62"/>
      <c r="C1" s="62"/>
      <c r="D1" s="62"/>
      <c r="E1" s="62"/>
      <c r="F1" s="62"/>
      <c r="G1" s="62"/>
      <c r="H1" s="62"/>
      <c r="I1" s="62"/>
      <c r="J1" s="62"/>
      <c r="K1" s="62"/>
      <c r="L1" s="62"/>
      <c r="M1" s="62"/>
      <c r="N1" s="62"/>
      <c r="O1" s="63"/>
      <c r="P1" s="64" t="s">
        <v>75</v>
      </c>
      <c r="Q1" s="65"/>
      <c r="R1" s="65"/>
      <c r="S1" s="65"/>
      <c r="T1" s="65"/>
      <c r="U1" s="65"/>
      <c r="V1" s="65"/>
      <c r="W1" s="65"/>
      <c r="X1" s="65"/>
      <c r="Y1" s="65"/>
      <c r="Z1" s="65"/>
      <c r="AA1" s="65"/>
      <c r="AB1" s="65"/>
      <c r="AC1" s="65"/>
      <c r="AD1" s="65"/>
      <c r="AE1" s="65"/>
      <c r="AF1" s="65"/>
      <c r="AG1" s="65"/>
    </row>
    <row r="2" spans="1:33" x14ac:dyDescent="0.25">
      <c r="A2" s="17" t="s">
        <v>27</v>
      </c>
      <c r="B2" t="s">
        <v>48</v>
      </c>
      <c r="O2" s="16"/>
      <c r="P2" s="66"/>
      <c r="Q2" s="65"/>
      <c r="R2" s="65"/>
      <c r="S2" s="65"/>
      <c r="T2" s="65"/>
      <c r="U2" s="65"/>
      <c r="V2" s="65"/>
      <c r="W2" s="65"/>
      <c r="X2" s="65"/>
      <c r="Y2" s="65"/>
      <c r="Z2" s="65"/>
      <c r="AA2" s="65"/>
      <c r="AB2" s="65"/>
      <c r="AC2" s="65"/>
      <c r="AD2" s="65"/>
      <c r="AE2" s="65"/>
      <c r="AF2" s="65"/>
      <c r="AG2" s="65"/>
    </row>
    <row r="3" spans="1:33" x14ac:dyDescent="0.25">
      <c r="A3" s="17" t="s">
        <v>59</v>
      </c>
      <c r="O3" s="16"/>
      <c r="P3" s="66"/>
      <c r="Q3" s="65"/>
      <c r="R3" s="65"/>
      <c r="S3" s="65"/>
      <c r="T3" s="65"/>
      <c r="U3" s="65"/>
      <c r="V3" s="65"/>
      <c r="W3" s="65"/>
      <c r="X3" s="65"/>
      <c r="Y3" s="65"/>
      <c r="Z3" s="65"/>
      <c r="AA3" s="65"/>
      <c r="AB3" s="65"/>
      <c r="AC3" s="65"/>
      <c r="AD3" s="65"/>
      <c r="AE3" s="65"/>
      <c r="AF3" s="65"/>
      <c r="AG3" s="65"/>
    </row>
    <row r="4" spans="1:33" x14ac:dyDescent="0.25">
      <c r="A4" s="15"/>
      <c r="O4" s="16"/>
      <c r="P4" s="60"/>
      <c r="Q4" s="58"/>
      <c r="R4" s="58"/>
      <c r="S4" s="58"/>
      <c r="T4" s="58"/>
      <c r="U4" s="58"/>
      <c r="V4" s="58"/>
      <c r="W4" s="58"/>
      <c r="X4" s="58"/>
      <c r="Y4" s="58"/>
      <c r="Z4" s="58"/>
      <c r="AA4" s="58"/>
      <c r="AB4" s="58"/>
      <c r="AC4" s="58"/>
      <c r="AD4" s="58"/>
      <c r="AE4" s="58"/>
      <c r="AF4" s="58"/>
      <c r="AG4" s="58"/>
    </row>
    <row r="5" spans="1:33" x14ac:dyDescent="0.25">
      <c r="A5" s="15" t="s">
        <v>51</v>
      </c>
      <c r="O5" s="16"/>
      <c r="P5" s="60"/>
      <c r="Q5" s="58"/>
      <c r="R5" s="58"/>
      <c r="S5" s="58"/>
      <c r="T5" s="58"/>
      <c r="U5" s="58"/>
      <c r="V5" s="58"/>
      <c r="W5" s="58"/>
      <c r="X5" s="58"/>
      <c r="Y5" s="58"/>
      <c r="Z5" s="58"/>
      <c r="AA5" s="58"/>
      <c r="AB5" s="58"/>
      <c r="AC5" s="58"/>
      <c r="AD5" s="58"/>
      <c r="AE5" s="58"/>
      <c r="AF5" s="58"/>
      <c r="AG5" s="58"/>
    </row>
    <row r="6" spans="1:33" x14ac:dyDescent="0.25">
      <c r="A6" s="15" t="s">
        <v>52</v>
      </c>
      <c r="O6" s="16"/>
      <c r="P6" s="60"/>
      <c r="Q6" s="58"/>
      <c r="R6" s="58"/>
      <c r="S6" s="58"/>
      <c r="T6" s="58"/>
      <c r="U6" s="58"/>
      <c r="V6" s="58"/>
      <c r="W6" s="58"/>
      <c r="X6" s="58"/>
      <c r="Y6" s="58"/>
      <c r="Z6" s="58"/>
      <c r="AA6" s="58"/>
      <c r="AB6" s="58"/>
      <c r="AC6" s="58"/>
      <c r="AD6" s="58"/>
      <c r="AE6" s="58"/>
      <c r="AF6" s="58"/>
      <c r="AG6" s="58"/>
    </row>
    <row r="7" spans="1:33" x14ac:dyDescent="0.25">
      <c r="A7" s="25" t="s">
        <v>53</v>
      </c>
      <c r="O7" s="16"/>
      <c r="P7" s="60"/>
      <c r="Q7" s="58"/>
      <c r="R7" s="58"/>
      <c r="S7" s="58"/>
      <c r="T7" s="58"/>
      <c r="U7" s="58"/>
      <c r="V7" s="58"/>
      <c r="W7" s="58"/>
      <c r="X7" s="58"/>
      <c r="Y7" s="58"/>
      <c r="Z7" s="58"/>
      <c r="AA7" s="58"/>
      <c r="AB7" s="58"/>
      <c r="AC7" s="58"/>
      <c r="AD7" s="58"/>
      <c r="AE7" s="58"/>
      <c r="AF7" s="58"/>
      <c r="AG7" s="58"/>
    </row>
    <row r="8" spans="1:33" x14ac:dyDescent="0.25">
      <c r="A8" s="15"/>
      <c r="O8" s="16"/>
      <c r="P8" s="60"/>
      <c r="Q8" s="58"/>
      <c r="R8" s="58"/>
      <c r="S8" s="58"/>
      <c r="T8" s="58"/>
      <c r="U8" s="58"/>
      <c r="V8" s="58"/>
      <c r="W8" s="58"/>
      <c r="X8" s="58"/>
      <c r="Y8" s="58"/>
      <c r="Z8" s="58"/>
      <c r="AA8" s="58"/>
      <c r="AB8" s="58"/>
      <c r="AC8" s="58"/>
      <c r="AD8" s="58"/>
      <c r="AE8" s="58"/>
      <c r="AF8" s="58"/>
      <c r="AG8" s="58"/>
    </row>
    <row r="9" spans="1:33" x14ac:dyDescent="0.25">
      <c r="A9" s="15"/>
      <c r="O9" s="16"/>
      <c r="P9" s="60"/>
      <c r="Q9" s="58"/>
      <c r="R9" s="58"/>
      <c r="S9" s="58"/>
      <c r="T9" s="58"/>
      <c r="U9" s="58"/>
      <c r="V9" s="58"/>
      <c r="W9" s="58"/>
      <c r="X9" s="58"/>
      <c r="Y9" s="58"/>
      <c r="Z9" s="58"/>
      <c r="AA9" s="58"/>
      <c r="AB9" s="58"/>
      <c r="AC9" s="58"/>
      <c r="AD9" s="58"/>
      <c r="AE9" s="58"/>
      <c r="AF9" s="58"/>
      <c r="AG9" s="58"/>
    </row>
    <row r="10" spans="1:33" ht="45" x14ac:dyDescent="0.25">
      <c r="A10" s="26" t="s">
        <v>49</v>
      </c>
      <c r="B10" s="11" t="s">
        <v>50</v>
      </c>
      <c r="C10" s="11" t="s">
        <v>74</v>
      </c>
      <c r="D10" s="11" t="s">
        <v>80</v>
      </c>
      <c r="E10" s="11" t="s">
        <v>81</v>
      </c>
      <c r="F10" s="11" t="s">
        <v>82</v>
      </c>
      <c r="O10" s="16"/>
      <c r="P10" s="60"/>
      <c r="Q10" s="58"/>
      <c r="R10" s="58"/>
      <c r="S10" s="58"/>
      <c r="T10" s="58"/>
      <c r="U10" s="58"/>
      <c r="V10" s="58"/>
      <c r="W10" s="58"/>
      <c r="X10" s="58"/>
      <c r="Y10" s="58"/>
      <c r="Z10" s="58"/>
      <c r="AA10" s="58"/>
      <c r="AB10" s="58"/>
      <c r="AC10" s="58"/>
      <c r="AD10" s="58"/>
      <c r="AE10" s="58"/>
      <c r="AF10" s="58"/>
      <c r="AG10" s="58"/>
    </row>
    <row r="11" spans="1:33" x14ac:dyDescent="0.25">
      <c r="A11" s="27">
        <v>44562</v>
      </c>
      <c r="B11" s="6">
        <v>3219</v>
      </c>
      <c r="C11" s="36">
        <f>B11</f>
        <v>3219</v>
      </c>
      <c r="D11" s="42">
        <f>AVERAGE(C11,C23,C35)/AVERAGE($C$11:$C$41)</f>
        <v>1.0265809617795323</v>
      </c>
      <c r="E11" s="36"/>
      <c r="F11" s="46">
        <f>0</f>
        <v>0</v>
      </c>
      <c r="O11" s="16"/>
      <c r="P11" s="60"/>
      <c r="Q11" s="58"/>
      <c r="R11" s="58"/>
      <c r="S11" s="58"/>
      <c r="T11" s="58"/>
      <c r="U11" s="58"/>
      <c r="V11" s="58"/>
      <c r="W11" s="58"/>
      <c r="X11" s="58"/>
      <c r="Y11" s="58"/>
      <c r="Z11" s="58"/>
      <c r="AA11" s="58"/>
      <c r="AB11" s="58"/>
      <c r="AC11" s="58"/>
      <c r="AD11" s="58"/>
      <c r="AE11" s="58"/>
      <c r="AF11" s="58"/>
      <c r="AG11" s="58"/>
    </row>
    <row r="12" spans="1:33" x14ac:dyDescent="0.25">
      <c r="A12" s="27">
        <v>44593</v>
      </c>
      <c r="B12" s="6">
        <v>3904</v>
      </c>
      <c r="C12" s="37">
        <f t="shared" ref="C12:C14" si="0">B12</f>
        <v>3904</v>
      </c>
      <c r="D12" s="43">
        <f>AVERAGE(C12,C24,C36)/AVERAGE($C$11:$C$41)</f>
        <v>0.93805599267418815</v>
      </c>
      <c r="E12" s="37"/>
      <c r="F12" s="47">
        <f>F11+1</f>
        <v>1</v>
      </c>
      <c r="O12" s="16"/>
      <c r="P12" s="60"/>
      <c r="Q12" s="58"/>
      <c r="R12" s="58"/>
      <c r="S12" s="58"/>
      <c r="T12" s="58"/>
      <c r="U12" s="58"/>
      <c r="V12" s="58"/>
      <c r="W12" s="58"/>
      <c r="X12" s="58"/>
      <c r="Y12" s="58"/>
      <c r="Z12" s="58"/>
      <c r="AA12" s="58"/>
      <c r="AB12" s="58"/>
      <c r="AC12" s="58"/>
      <c r="AD12" s="58"/>
      <c r="AE12" s="58"/>
      <c r="AF12" s="58"/>
      <c r="AG12" s="58"/>
    </row>
    <row r="13" spans="1:33" x14ac:dyDescent="0.25">
      <c r="A13" s="27">
        <v>44621</v>
      </c>
      <c r="B13" s="6">
        <v>4427</v>
      </c>
      <c r="C13" s="37">
        <f t="shared" si="0"/>
        <v>4427</v>
      </c>
      <c r="D13" s="43">
        <f t="shared" ref="D13:D22" si="1">AVERAGE(C13,C25,C37)/AVERAGE($C$11:$C$41)</f>
        <v>1.0713395389361571</v>
      </c>
      <c r="E13" s="37"/>
      <c r="F13" s="47">
        <f t="shared" ref="F13:F46" si="2">F12+1</f>
        <v>2</v>
      </c>
      <c r="O13" s="16"/>
      <c r="P13" s="60"/>
      <c r="Q13" s="58"/>
      <c r="R13" s="58"/>
      <c r="S13" s="58"/>
      <c r="T13" s="58"/>
      <c r="U13" s="58"/>
      <c r="V13" s="58"/>
      <c r="W13" s="58"/>
      <c r="X13" s="58"/>
      <c r="Y13" s="58"/>
      <c r="Z13" s="58"/>
      <c r="AA13" s="58"/>
      <c r="AB13" s="58"/>
      <c r="AC13" s="58"/>
      <c r="AD13" s="58"/>
      <c r="AE13" s="58"/>
      <c r="AF13" s="58"/>
      <c r="AG13" s="58"/>
    </row>
    <row r="14" spans="1:33" x14ac:dyDescent="0.25">
      <c r="A14" s="27">
        <v>44652</v>
      </c>
      <c r="B14" s="6">
        <v>6039</v>
      </c>
      <c r="C14" s="37">
        <f t="shared" si="0"/>
        <v>6039</v>
      </c>
      <c r="D14" s="43">
        <f t="shared" si="1"/>
        <v>1.0094382062429432</v>
      </c>
      <c r="E14" s="37"/>
      <c r="F14" s="47">
        <f t="shared" si="2"/>
        <v>3</v>
      </c>
      <c r="O14" s="16"/>
      <c r="P14" s="60" t="s">
        <v>76</v>
      </c>
      <c r="Q14" s="58"/>
      <c r="R14" s="58"/>
      <c r="S14" s="58"/>
      <c r="T14" s="58"/>
      <c r="U14" s="35">
        <f>AVERAGE(B14,B19)</f>
        <v>6142.5</v>
      </c>
    </row>
    <row r="15" spans="1:33" x14ac:dyDescent="0.25">
      <c r="A15" s="31">
        <v>44682</v>
      </c>
      <c r="B15" s="6">
        <v>9375</v>
      </c>
      <c r="C15" s="41">
        <f>B15/$U$17</f>
        <v>6442.4609833864743</v>
      </c>
      <c r="D15" s="43">
        <f t="shared" si="1"/>
        <v>1.0567026564691733</v>
      </c>
      <c r="E15" s="37"/>
      <c r="F15" s="47">
        <f t="shared" si="2"/>
        <v>4</v>
      </c>
      <c r="O15" s="16"/>
      <c r="P15" s="67" t="s">
        <v>77</v>
      </c>
      <c r="Q15" s="65"/>
      <c r="R15" s="65"/>
      <c r="S15" s="65"/>
      <c r="T15" s="65"/>
      <c r="U15" s="68">
        <f>AVERAGE(B15:B18)</f>
        <v>8938.5</v>
      </c>
    </row>
    <row r="16" spans="1:33" x14ac:dyDescent="0.25">
      <c r="A16" s="31">
        <v>44713</v>
      </c>
      <c r="B16" s="6">
        <v>9176</v>
      </c>
      <c r="C16" s="41">
        <f>B16/$U$17</f>
        <v>6305.7090115791243</v>
      </c>
      <c r="D16" s="43">
        <f t="shared" si="1"/>
        <v>1.0521412518940476</v>
      </c>
      <c r="E16" s="37"/>
      <c r="F16" s="47">
        <f t="shared" si="2"/>
        <v>5</v>
      </c>
      <c r="G16" s="44"/>
      <c r="I16" s="45"/>
      <c r="O16" s="16"/>
      <c r="P16" s="66"/>
      <c r="Q16" s="65"/>
      <c r="R16" s="65"/>
      <c r="S16" s="65"/>
      <c r="T16" s="65"/>
      <c r="U16" s="68"/>
    </row>
    <row r="17" spans="1:31" x14ac:dyDescent="0.25">
      <c r="A17" s="31">
        <v>44743</v>
      </c>
      <c r="B17" s="6">
        <v>8872</v>
      </c>
      <c r="C17" s="41">
        <f>B17/$U$17</f>
        <v>6096.8014767578452</v>
      </c>
      <c r="D17" s="43">
        <f>AVERAGE(C17,C29,C41)/AVERAGE($C$11:$C$41)</f>
        <v>1.00573412953439</v>
      </c>
      <c r="E17" s="37"/>
      <c r="F17" s="47">
        <f t="shared" si="2"/>
        <v>6</v>
      </c>
      <c r="G17" s="44"/>
      <c r="O17" s="16"/>
      <c r="P17" s="69" t="s">
        <v>78</v>
      </c>
      <c r="Q17" s="58"/>
      <c r="R17" s="58"/>
      <c r="U17" s="35">
        <f>U15/U14</f>
        <v>1.4551892551892551</v>
      </c>
      <c r="V17" s="58" t="s">
        <v>79</v>
      </c>
      <c r="W17" s="58"/>
      <c r="X17" s="58"/>
      <c r="Y17" s="58"/>
    </row>
    <row r="18" spans="1:31" x14ac:dyDescent="0.25">
      <c r="A18" s="31">
        <v>44774</v>
      </c>
      <c r="B18" s="6">
        <v>8331</v>
      </c>
      <c r="C18" s="41">
        <f>B18/$U$17</f>
        <v>5725.0285282765572</v>
      </c>
      <c r="D18" s="50">
        <f t="shared" si="1"/>
        <v>0.96225664624482787</v>
      </c>
      <c r="E18" s="37"/>
      <c r="F18" s="47">
        <f t="shared" si="2"/>
        <v>7</v>
      </c>
      <c r="O18" s="16"/>
    </row>
    <row r="19" spans="1:31" x14ac:dyDescent="0.25">
      <c r="A19" s="27">
        <v>44805</v>
      </c>
      <c r="B19" s="6">
        <v>6246</v>
      </c>
      <c r="C19" s="37">
        <f>B19</f>
        <v>6246</v>
      </c>
      <c r="D19" s="50">
        <f>AVERAGE(C19,C31,C43)/AVERAGE($C$11:$C$41)</f>
        <v>0.85997652895207111</v>
      </c>
      <c r="E19" s="37"/>
      <c r="F19" s="47">
        <f t="shared" si="2"/>
        <v>8</v>
      </c>
      <c r="O19" s="16"/>
      <c r="P19" s="67" t="s">
        <v>83</v>
      </c>
      <c r="Q19" s="65"/>
      <c r="R19" s="65"/>
      <c r="S19" s="65"/>
      <c r="T19" s="65"/>
      <c r="U19" s="65"/>
      <c r="V19" s="65"/>
      <c r="W19" s="65"/>
      <c r="X19" s="65"/>
      <c r="Y19" s="65"/>
      <c r="Z19" s="65"/>
      <c r="AA19" s="65"/>
      <c r="AB19" s="65"/>
      <c r="AC19" s="65"/>
      <c r="AD19" s="58"/>
      <c r="AE19" s="58"/>
    </row>
    <row r="20" spans="1:31" x14ac:dyDescent="0.25">
      <c r="A20" s="27">
        <v>44835</v>
      </c>
      <c r="B20" s="6">
        <v>5490</v>
      </c>
      <c r="C20" s="37">
        <f t="shared" ref="C20:C21" si="3">B20</f>
        <v>5490</v>
      </c>
      <c r="D20" s="50">
        <f t="shared" si="1"/>
        <v>0.94298935801349593</v>
      </c>
      <c r="E20" s="37"/>
      <c r="F20" s="47">
        <f t="shared" si="2"/>
        <v>9</v>
      </c>
      <c r="O20" s="16"/>
      <c r="P20" s="66"/>
      <c r="Q20" s="65"/>
      <c r="R20" s="65"/>
      <c r="S20" s="65"/>
      <c r="T20" s="65"/>
      <c r="U20" s="65"/>
      <c r="V20" s="65"/>
      <c r="W20" s="65"/>
      <c r="X20" s="65"/>
      <c r="Y20" s="65"/>
      <c r="Z20" s="65"/>
      <c r="AA20" s="65"/>
      <c r="AB20" s="65"/>
      <c r="AC20" s="65"/>
      <c r="AD20" s="58"/>
      <c r="AE20" s="58"/>
    </row>
    <row r="21" spans="1:31" x14ac:dyDescent="0.25">
      <c r="A21" s="27">
        <v>44866</v>
      </c>
      <c r="B21" s="6">
        <v>5247</v>
      </c>
      <c r="C21" s="37">
        <f t="shared" si="3"/>
        <v>5247</v>
      </c>
      <c r="D21" s="50">
        <f t="shared" si="1"/>
        <v>0.90528632011308785</v>
      </c>
      <c r="E21" s="37"/>
      <c r="F21" s="47">
        <f t="shared" si="2"/>
        <v>10</v>
      </c>
      <c r="O21" s="16"/>
      <c r="P21" s="66"/>
      <c r="Q21" s="65"/>
      <c r="R21" s="65"/>
      <c r="S21" s="65"/>
      <c r="T21" s="65"/>
      <c r="U21" s="65"/>
      <c r="V21" s="65"/>
      <c r="W21" s="65"/>
      <c r="X21" s="65"/>
      <c r="Y21" s="65"/>
      <c r="Z21" s="65"/>
      <c r="AA21" s="65"/>
      <c r="AB21" s="65"/>
      <c r="AC21" s="65"/>
      <c r="AD21" s="58"/>
      <c r="AE21" s="58"/>
    </row>
    <row r="22" spans="1:31" x14ac:dyDescent="0.25">
      <c r="A22" s="33">
        <v>44896</v>
      </c>
      <c r="B22" s="6">
        <v>9582</v>
      </c>
      <c r="C22" s="38">
        <f>AVERAGE(B21,B23)</f>
        <v>5958</v>
      </c>
      <c r="D22" s="50">
        <f t="shared" si="1"/>
        <v>1.0895020403808711</v>
      </c>
      <c r="E22" s="37"/>
      <c r="F22" s="47">
        <f t="shared" si="2"/>
        <v>11</v>
      </c>
      <c r="O22" s="16"/>
      <c r="P22" s="66"/>
      <c r="Q22" s="65"/>
      <c r="R22" s="65"/>
      <c r="S22" s="65"/>
      <c r="T22" s="65"/>
      <c r="U22" s="65"/>
      <c r="V22" s="65"/>
      <c r="W22" s="65"/>
      <c r="X22" s="65"/>
      <c r="Y22" s="65"/>
      <c r="Z22" s="65"/>
      <c r="AA22" s="65"/>
      <c r="AB22" s="65"/>
      <c r="AC22" s="65"/>
      <c r="AD22" s="58"/>
      <c r="AE22" s="58"/>
    </row>
    <row r="23" spans="1:31" x14ac:dyDescent="0.25">
      <c r="A23" s="27">
        <v>44927</v>
      </c>
      <c r="B23" s="6">
        <v>6669</v>
      </c>
      <c r="C23" s="37">
        <f>B23</f>
        <v>6669</v>
      </c>
      <c r="D23" s="37"/>
      <c r="E23" s="37"/>
      <c r="F23" s="47">
        <f t="shared" si="2"/>
        <v>12</v>
      </c>
      <c r="O23" s="16"/>
      <c r="P23" s="66"/>
      <c r="Q23" s="65"/>
      <c r="R23" s="65"/>
      <c r="S23" s="65"/>
      <c r="T23" s="65"/>
      <c r="U23" s="65"/>
      <c r="V23" s="65"/>
      <c r="W23" s="65"/>
      <c r="X23" s="65"/>
      <c r="Y23" s="65"/>
      <c r="Z23" s="65"/>
      <c r="AA23" s="65"/>
      <c r="AB23" s="65"/>
      <c r="AC23" s="65"/>
      <c r="AD23" s="58"/>
      <c r="AE23" s="58"/>
    </row>
    <row r="24" spans="1:31" x14ac:dyDescent="0.25">
      <c r="A24" s="27">
        <v>44958</v>
      </c>
      <c r="B24" s="6">
        <v>4274</v>
      </c>
      <c r="C24" s="37">
        <f t="shared" ref="C24:C33" si="4">B24</f>
        <v>4274</v>
      </c>
      <c r="D24" s="37"/>
      <c r="E24" s="37"/>
      <c r="F24" s="47">
        <f t="shared" si="2"/>
        <v>13</v>
      </c>
      <c r="O24" s="16"/>
      <c r="P24" s="66"/>
      <c r="Q24" s="65"/>
      <c r="R24" s="65"/>
      <c r="S24" s="65"/>
      <c r="T24" s="65"/>
      <c r="U24" s="65"/>
      <c r="V24" s="65"/>
      <c r="W24" s="65"/>
      <c r="X24" s="65"/>
      <c r="Y24" s="65"/>
      <c r="Z24" s="65"/>
      <c r="AA24" s="65"/>
      <c r="AB24" s="65"/>
      <c r="AC24" s="65"/>
      <c r="AD24" s="58"/>
      <c r="AE24" s="58"/>
    </row>
    <row r="25" spans="1:31" x14ac:dyDescent="0.25">
      <c r="A25" s="27">
        <v>44986</v>
      </c>
      <c r="B25" s="6">
        <v>5465</v>
      </c>
      <c r="C25" s="37">
        <f t="shared" si="4"/>
        <v>5465</v>
      </c>
      <c r="D25" s="37"/>
      <c r="E25" s="37"/>
      <c r="F25" s="47">
        <f t="shared" si="2"/>
        <v>14</v>
      </c>
      <c r="O25" s="16"/>
      <c r="P25" s="66"/>
      <c r="Q25" s="65"/>
      <c r="R25" s="65"/>
      <c r="S25" s="65"/>
      <c r="T25" s="65"/>
      <c r="U25" s="65"/>
      <c r="V25" s="65"/>
      <c r="W25" s="65"/>
      <c r="X25" s="65"/>
      <c r="Y25" s="65"/>
      <c r="Z25" s="65"/>
      <c r="AA25" s="65"/>
      <c r="AB25" s="65"/>
      <c r="AC25" s="65"/>
      <c r="AD25" s="58"/>
      <c r="AE25" s="58"/>
    </row>
    <row r="26" spans="1:31" x14ac:dyDescent="0.25">
      <c r="A26" s="27">
        <v>45017</v>
      </c>
      <c r="B26" s="6">
        <v>4789</v>
      </c>
      <c r="C26" s="37">
        <f t="shared" si="4"/>
        <v>4789</v>
      </c>
      <c r="D26" s="37"/>
      <c r="E26" s="37"/>
      <c r="F26" s="47">
        <f t="shared" si="2"/>
        <v>15</v>
      </c>
      <c r="O26" s="16"/>
      <c r="P26" s="66"/>
      <c r="Q26" s="65"/>
      <c r="R26" s="65"/>
      <c r="S26" s="65"/>
      <c r="T26" s="65"/>
      <c r="U26" s="65"/>
      <c r="V26" s="65"/>
      <c r="W26" s="65"/>
      <c r="X26" s="65"/>
      <c r="Y26" s="65"/>
      <c r="Z26" s="65"/>
      <c r="AA26" s="65"/>
      <c r="AB26" s="65"/>
      <c r="AC26" s="65"/>
      <c r="AD26" s="58"/>
      <c r="AE26" s="58"/>
    </row>
    <row r="27" spans="1:31" x14ac:dyDescent="0.25">
      <c r="A27" s="27">
        <v>45047</v>
      </c>
      <c r="B27" s="6">
        <v>6731</v>
      </c>
      <c r="C27" s="37">
        <f t="shared" si="4"/>
        <v>6731</v>
      </c>
      <c r="D27" s="37"/>
      <c r="E27" s="37"/>
      <c r="F27" s="47">
        <f t="shared" si="2"/>
        <v>16</v>
      </c>
      <c r="O27" s="16"/>
      <c r="P27" s="66"/>
      <c r="Q27" s="65"/>
      <c r="R27" s="65"/>
      <c r="S27" s="65"/>
      <c r="T27" s="65"/>
      <c r="U27" s="65"/>
      <c r="V27" s="65"/>
      <c r="W27" s="65"/>
      <c r="X27" s="65"/>
      <c r="Y27" s="65"/>
      <c r="Z27" s="65"/>
      <c r="AA27" s="65"/>
      <c r="AB27" s="65"/>
      <c r="AC27" s="65"/>
      <c r="AD27" s="58"/>
      <c r="AE27" s="58"/>
    </row>
    <row r="28" spans="1:31" x14ac:dyDescent="0.25">
      <c r="A28" s="27">
        <v>45078</v>
      </c>
      <c r="B28" s="6">
        <v>5943</v>
      </c>
      <c r="C28" s="37">
        <f t="shared" si="4"/>
        <v>5943</v>
      </c>
      <c r="D28" s="37"/>
      <c r="E28" s="37"/>
      <c r="F28" s="47">
        <f t="shared" si="2"/>
        <v>17</v>
      </c>
      <c r="O28" s="16"/>
      <c r="P28" s="60"/>
      <c r="Q28" s="58"/>
      <c r="R28" s="58"/>
      <c r="S28" s="58"/>
      <c r="T28" s="58"/>
      <c r="U28" s="58"/>
      <c r="V28" s="58"/>
      <c r="W28" s="58"/>
      <c r="X28" s="58"/>
      <c r="Y28" s="58"/>
      <c r="Z28" s="58"/>
      <c r="AA28" s="58"/>
      <c r="AB28" s="58"/>
      <c r="AC28" s="58"/>
      <c r="AD28" s="58"/>
      <c r="AE28" s="58"/>
    </row>
    <row r="29" spans="1:31" x14ac:dyDescent="0.25">
      <c r="A29" s="27">
        <v>45108</v>
      </c>
      <c r="B29" s="6">
        <v>6337</v>
      </c>
      <c r="C29" s="37">
        <f t="shared" si="4"/>
        <v>6337</v>
      </c>
      <c r="D29" s="37"/>
      <c r="E29" s="37"/>
      <c r="F29" s="47">
        <f t="shared" si="2"/>
        <v>18</v>
      </c>
      <c r="O29" s="16"/>
      <c r="P29" s="60"/>
      <c r="Q29" s="58"/>
      <c r="R29" s="58"/>
      <c r="S29" s="58"/>
      <c r="T29" s="58"/>
      <c r="U29" s="58"/>
      <c r="V29" s="58"/>
      <c r="W29" s="58"/>
      <c r="X29" s="58"/>
      <c r="Y29" s="58"/>
      <c r="Z29" s="58"/>
      <c r="AA29" s="58"/>
      <c r="AB29" s="58"/>
      <c r="AC29" s="58"/>
      <c r="AD29" s="58"/>
      <c r="AE29" s="58"/>
    </row>
    <row r="30" spans="1:31" x14ac:dyDescent="0.25">
      <c r="A30" s="27">
        <v>45139</v>
      </c>
      <c r="B30" s="6">
        <v>5913</v>
      </c>
      <c r="C30" s="37">
        <f t="shared" si="4"/>
        <v>5913</v>
      </c>
      <c r="D30" s="37"/>
      <c r="E30" s="37"/>
      <c r="F30" s="47">
        <f t="shared" si="2"/>
        <v>19</v>
      </c>
      <c r="O30" s="16"/>
      <c r="P30" s="60"/>
      <c r="Q30" s="58"/>
      <c r="R30" s="58"/>
      <c r="S30" s="58"/>
      <c r="T30" s="58"/>
      <c r="U30" s="58"/>
      <c r="V30" s="58"/>
      <c r="W30" s="58"/>
      <c r="X30" s="58"/>
      <c r="Y30" s="58"/>
      <c r="Z30" s="58"/>
      <c r="AA30" s="58"/>
      <c r="AB30" s="58"/>
      <c r="AC30" s="58"/>
      <c r="AD30" s="58"/>
      <c r="AE30" s="58"/>
    </row>
    <row r="31" spans="1:31" x14ac:dyDescent="0.25">
      <c r="A31" s="27">
        <v>45170</v>
      </c>
      <c r="B31" s="6">
        <v>4155</v>
      </c>
      <c r="C31" s="37">
        <f t="shared" si="4"/>
        <v>4155</v>
      </c>
      <c r="D31" s="37"/>
      <c r="E31" s="37"/>
      <c r="F31" s="47">
        <f t="shared" si="2"/>
        <v>20</v>
      </c>
      <c r="O31" s="16"/>
      <c r="P31" s="60"/>
      <c r="Q31" s="58"/>
      <c r="R31" s="58"/>
      <c r="S31" s="58"/>
      <c r="T31" s="58"/>
      <c r="U31" s="58"/>
      <c r="V31" s="58"/>
      <c r="W31" s="58"/>
      <c r="X31" s="58"/>
      <c r="Y31" s="58"/>
      <c r="Z31" s="58"/>
      <c r="AA31" s="58"/>
      <c r="AB31" s="58"/>
      <c r="AC31" s="58"/>
      <c r="AD31" s="58"/>
      <c r="AE31" s="58"/>
    </row>
    <row r="32" spans="1:31" x14ac:dyDescent="0.25">
      <c r="A32" s="27">
        <v>45200</v>
      </c>
      <c r="B32" s="6">
        <v>5915</v>
      </c>
      <c r="C32" s="37">
        <f t="shared" si="4"/>
        <v>5915</v>
      </c>
      <c r="D32" s="37"/>
      <c r="E32" s="37"/>
      <c r="F32" s="47">
        <f t="shared" si="2"/>
        <v>21</v>
      </c>
      <c r="O32" s="16"/>
      <c r="P32" s="60"/>
      <c r="Q32" s="58"/>
      <c r="R32" s="58"/>
      <c r="S32" s="58"/>
      <c r="T32" s="58"/>
      <c r="U32" s="58"/>
      <c r="V32" s="58"/>
      <c r="W32" s="58"/>
      <c r="X32" s="58"/>
      <c r="Y32" s="58"/>
      <c r="Z32" s="58"/>
      <c r="AA32" s="58"/>
      <c r="AB32" s="58"/>
      <c r="AC32" s="58"/>
      <c r="AD32" s="58"/>
      <c r="AE32" s="58"/>
    </row>
    <row r="33" spans="1:31" x14ac:dyDescent="0.25">
      <c r="A33" s="27">
        <v>45231</v>
      </c>
      <c r="B33" s="6">
        <v>5702</v>
      </c>
      <c r="C33" s="37">
        <f t="shared" si="4"/>
        <v>5702</v>
      </c>
      <c r="D33" s="37"/>
      <c r="E33" s="37"/>
      <c r="F33" s="47">
        <f t="shared" si="2"/>
        <v>22</v>
      </c>
      <c r="O33" s="16"/>
      <c r="P33" s="60"/>
      <c r="Q33" s="58"/>
      <c r="R33" s="58"/>
      <c r="S33" s="58"/>
      <c r="T33" s="58"/>
      <c r="U33" s="58"/>
      <c r="V33" s="58"/>
      <c r="W33" s="58"/>
      <c r="X33" s="58"/>
      <c r="Y33" s="58"/>
      <c r="Z33" s="58"/>
      <c r="AA33" s="58"/>
      <c r="AB33" s="58"/>
      <c r="AC33" s="58"/>
      <c r="AD33" s="58"/>
      <c r="AE33" s="58"/>
    </row>
    <row r="34" spans="1:31" x14ac:dyDescent="0.25">
      <c r="A34" s="34">
        <v>45261</v>
      </c>
      <c r="B34" s="6">
        <v>10920</v>
      </c>
      <c r="C34" s="39">
        <f>AVERAGE(B33,B35)</f>
        <v>7219</v>
      </c>
      <c r="D34" s="37"/>
      <c r="E34" s="37"/>
      <c r="F34" s="47">
        <f t="shared" si="2"/>
        <v>23</v>
      </c>
      <c r="O34" s="16"/>
      <c r="P34" s="60"/>
      <c r="Q34" s="58"/>
      <c r="R34" s="58"/>
      <c r="S34" s="58"/>
      <c r="T34" s="58"/>
      <c r="U34" s="58"/>
      <c r="V34" s="58"/>
      <c r="W34" s="58"/>
      <c r="X34" s="58"/>
      <c r="Y34" s="58"/>
      <c r="Z34" s="58"/>
      <c r="AA34" s="58"/>
      <c r="AB34" s="58"/>
      <c r="AC34" s="58"/>
      <c r="AD34" s="58"/>
      <c r="AE34" s="58"/>
    </row>
    <row r="35" spans="1:31" x14ac:dyDescent="0.25">
      <c r="A35" s="27">
        <v>45292</v>
      </c>
      <c r="B35" s="6">
        <v>8736</v>
      </c>
      <c r="C35" s="37">
        <f>B35</f>
        <v>8736</v>
      </c>
      <c r="D35" s="37"/>
      <c r="E35" s="37"/>
      <c r="F35" s="47">
        <f t="shared" si="2"/>
        <v>24</v>
      </c>
      <c r="O35" s="16"/>
    </row>
    <row r="36" spans="1:31" x14ac:dyDescent="0.25">
      <c r="A36" s="27">
        <v>45323</v>
      </c>
      <c r="B36" s="6">
        <v>8840</v>
      </c>
      <c r="C36" s="37">
        <f t="shared" ref="C36:C41" si="5">B36</f>
        <v>8840</v>
      </c>
      <c r="D36" s="37"/>
      <c r="E36" s="37"/>
      <c r="F36" s="47">
        <f t="shared" si="2"/>
        <v>25</v>
      </c>
      <c r="O36" s="16"/>
    </row>
    <row r="37" spans="1:31" x14ac:dyDescent="0.25">
      <c r="A37" s="27">
        <v>45352</v>
      </c>
      <c r="B37" s="6">
        <v>9544</v>
      </c>
      <c r="C37" s="37">
        <f t="shared" si="5"/>
        <v>9544</v>
      </c>
      <c r="D37" s="37"/>
      <c r="E37" s="37"/>
      <c r="F37" s="47">
        <f t="shared" si="2"/>
        <v>26</v>
      </c>
      <c r="O37" s="16"/>
    </row>
    <row r="38" spans="1:31" x14ac:dyDescent="0.25">
      <c r="A38" s="27">
        <v>45383</v>
      </c>
      <c r="B38" s="6">
        <v>7485</v>
      </c>
      <c r="C38" s="37">
        <f t="shared" si="5"/>
        <v>7485</v>
      </c>
      <c r="D38" s="37"/>
      <c r="E38" s="37"/>
      <c r="F38" s="47">
        <f t="shared" si="2"/>
        <v>27</v>
      </c>
      <c r="O38" s="16"/>
    </row>
    <row r="39" spans="1:31" x14ac:dyDescent="0.25">
      <c r="A39" s="27">
        <v>45413</v>
      </c>
      <c r="B39" s="6">
        <v>5997</v>
      </c>
      <c r="C39" s="37">
        <f t="shared" si="5"/>
        <v>5997</v>
      </c>
      <c r="D39" s="37"/>
      <c r="E39" s="37"/>
      <c r="F39" s="47">
        <f t="shared" si="2"/>
        <v>28</v>
      </c>
      <c r="O39" s="16"/>
    </row>
    <row r="40" spans="1:31" x14ac:dyDescent="0.25">
      <c r="A40" s="27">
        <v>45444</v>
      </c>
      <c r="B40" s="6">
        <v>6839</v>
      </c>
      <c r="C40" s="37">
        <f t="shared" si="5"/>
        <v>6839</v>
      </c>
      <c r="D40" s="37"/>
      <c r="E40" s="37"/>
      <c r="F40" s="47">
        <f t="shared" si="2"/>
        <v>29</v>
      </c>
      <c r="O40" s="16"/>
    </row>
    <row r="41" spans="1:31" x14ac:dyDescent="0.25">
      <c r="A41" s="27">
        <v>45474</v>
      </c>
      <c r="B41" s="6">
        <v>5812</v>
      </c>
      <c r="C41" s="37">
        <f t="shared" si="5"/>
        <v>5812</v>
      </c>
      <c r="D41" s="37"/>
      <c r="E41" s="37">
        <f>C41</f>
        <v>5812</v>
      </c>
      <c r="F41" s="47">
        <f t="shared" si="2"/>
        <v>30</v>
      </c>
      <c r="O41" s="16"/>
    </row>
    <row r="42" spans="1:31" x14ac:dyDescent="0.25">
      <c r="A42" s="27">
        <v>45505</v>
      </c>
      <c r="B42" s="51">
        <f>E42*D18</f>
        <v>7120.3664124450161</v>
      </c>
      <c r="C42" s="37"/>
      <c r="D42" s="37"/>
      <c r="E42" s="49">
        <f>_xlfn.FORECAST.LINEAR(F42,$C$11:$C$41,$F$11:$F$41)</f>
        <v>7399.6541777414486</v>
      </c>
      <c r="F42" s="47">
        <f t="shared" si="2"/>
        <v>31</v>
      </c>
      <c r="O42" s="16"/>
    </row>
    <row r="43" spans="1:31" x14ac:dyDescent="0.25">
      <c r="A43" s="27">
        <v>45536</v>
      </c>
      <c r="B43" s="51">
        <f t="shared" ref="B43:B46" si="6">E43*D19</f>
        <v>6436.2182224210192</v>
      </c>
      <c r="C43" s="37"/>
      <c r="D43" s="37"/>
      <c r="E43" s="49">
        <f t="shared" ref="E43:E46" si="7">_xlfn.FORECAST.LINEAR(F43,$C$11:$C$41,$F$11:$F$41)</f>
        <v>7484.1789348180309</v>
      </c>
      <c r="F43" s="47">
        <f t="shared" si="2"/>
        <v>32</v>
      </c>
      <c r="O43" s="16"/>
    </row>
    <row r="44" spans="1:31" x14ac:dyDescent="0.25">
      <c r="A44" s="27">
        <v>45566</v>
      </c>
      <c r="B44" s="51">
        <f t="shared" si="6"/>
        <v>7137.2070354140778</v>
      </c>
      <c r="C44" s="37"/>
      <c r="D44" s="37"/>
      <c r="E44" s="49">
        <f t="shared" si="7"/>
        <v>7568.7036918946133</v>
      </c>
      <c r="F44" s="47">
        <f t="shared" si="2"/>
        <v>33</v>
      </c>
      <c r="O44" s="16"/>
    </row>
    <row r="45" spans="1:31" x14ac:dyDescent="0.25">
      <c r="A45" s="27">
        <v>45597</v>
      </c>
      <c r="B45" s="51">
        <f>E45*D21</f>
        <v>6928.363019553929</v>
      </c>
      <c r="C45" s="37"/>
      <c r="D45" s="37"/>
      <c r="E45" s="49">
        <f t="shared" si="7"/>
        <v>7653.2284489711965</v>
      </c>
      <c r="F45" s="47">
        <f t="shared" si="2"/>
        <v>34</v>
      </c>
      <c r="O45" s="16"/>
    </row>
    <row r="46" spans="1:31" x14ac:dyDescent="0.25">
      <c r="A46" s="27">
        <v>45627</v>
      </c>
      <c r="B46" s="51">
        <f t="shared" si="6"/>
        <v>8430.2979059526824</v>
      </c>
      <c r="C46" s="40"/>
      <c r="D46" s="40"/>
      <c r="E46" s="49">
        <f t="shared" si="7"/>
        <v>7737.7532060477788</v>
      </c>
      <c r="F46" s="48">
        <f t="shared" si="2"/>
        <v>35</v>
      </c>
      <c r="O46" s="16"/>
    </row>
    <row r="47" spans="1:31" x14ac:dyDescent="0.25">
      <c r="A47" s="28"/>
      <c r="O47" s="16"/>
    </row>
    <row r="48" spans="1:31" ht="15.75" thickBot="1" x14ac:dyDescent="0.3">
      <c r="A48" s="29"/>
      <c r="B48" s="23"/>
      <c r="C48" s="23"/>
      <c r="D48" s="23"/>
      <c r="E48" s="23"/>
      <c r="F48" s="23"/>
      <c r="G48" s="23"/>
      <c r="H48" s="23"/>
      <c r="I48" s="23"/>
      <c r="J48" s="23"/>
      <c r="K48" s="23"/>
      <c r="L48" s="23"/>
      <c r="M48" s="23"/>
      <c r="N48" s="23"/>
      <c r="O48" s="24"/>
    </row>
    <row r="49" spans="1:1" x14ac:dyDescent="0.25">
      <c r="A49" s="10"/>
    </row>
    <row r="50" spans="1:1" x14ac:dyDescent="0.25">
      <c r="A50" s="10"/>
    </row>
    <row r="51" spans="1:1" x14ac:dyDescent="0.25">
      <c r="A51" s="10"/>
    </row>
  </sheetData>
  <mergeCells count="8">
    <mergeCell ref="A1:O1"/>
    <mergeCell ref="P1:AG13"/>
    <mergeCell ref="V17:Y17"/>
    <mergeCell ref="P19:AE34"/>
    <mergeCell ref="P14:T14"/>
    <mergeCell ref="P15:T16"/>
    <mergeCell ref="U15:U16"/>
    <mergeCell ref="P17:R17"/>
  </mergeCells>
  <pageMargins left="0.7" right="0.7" top="0.75" bottom="0.75" header="0.3" footer="0.3"/>
  <pageSetup paperSize="9" orientation="portrait" r:id="rId1"/>
  <ignoredErrors>
    <ignoredError sqref="C34" formula="1"/>
    <ignoredError sqref="U15"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showGridLines="0" workbookViewId="0">
      <selection activeCell="N25" sqref="N25"/>
    </sheetView>
  </sheetViews>
  <sheetFormatPr defaultRowHeight="15" x14ac:dyDescent="0.25"/>
  <sheetData>
    <row r="1" spans="1:2" x14ac:dyDescent="0.25">
      <c r="B1" s="4" t="s">
        <v>16</v>
      </c>
    </row>
    <row r="3" spans="1:2" x14ac:dyDescent="0.25">
      <c r="A3" t="s">
        <v>17</v>
      </c>
    </row>
    <row r="5" spans="1:2" x14ac:dyDescent="0.25">
      <c r="A5" s="5" t="s">
        <v>19</v>
      </c>
      <c r="B5" s="5"/>
    </row>
    <row r="6" spans="1:2" x14ac:dyDescent="0.25">
      <c r="A6" s="5" t="s">
        <v>18</v>
      </c>
      <c r="B6" s="5"/>
    </row>
    <row r="7" spans="1:2" x14ac:dyDescent="0.25">
      <c r="A7" s="5" t="s">
        <v>20</v>
      </c>
      <c r="B7" s="5"/>
    </row>
    <row r="8" spans="1:2" x14ac:dyDescent="0.25">
      <c r="A8" s="5" t="s">
        <v>21</v>
      </c>
      <c r="B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5</vt:i4>
      </vt:variant>
    </vt:vector>
  </HeadingPairs>
  <TitlesOfParts>
    <vt:vector size="5" baseType="lpstr">
      <vt:lpstr>Задание 1 </vt:lpstr>
      <vt:lpstr>Задание 3 (на)</vt:lpstr>
      <vt:lpstr>Задание 2 </vt:lpstr>
      <vt:lpstr>Задание 3 </vt:lpstr>
      <vt:lpstr>Задание 4 (дополнительно)</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Сбродова Анна Геннадьевна</dc:creator>
  <cp:lastModifiedBy>Gleb Gartman</cp:lastModifiedBy>
  <dcterms:created xsi:type="dcterms:W3CDTF">2022-08-05T16:56:19Z</dcterms:created>
  <dcterms:modified xsi:type="dcterms:W3CDTF">2026-02-08T16:52:07Z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